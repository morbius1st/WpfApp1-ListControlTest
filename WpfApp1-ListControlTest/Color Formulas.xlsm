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Programming\VisualStudioProjects\WpfApp1-ListControlTest\WpfApp1-ListControlTest\"/>
    </mc:Choice>
  </mc:AlternateContent>
  <xr:revisionPtr revIDLastSave="0" documentId="13_ncr:1_{F971FDEE-1414-4A7C-A181-EDA9F489423B}" xr6:coauthVersionLast="43" xr6:coauthVersionMax="43" xr10:uidLastSave="{00000000-0000-0000-0000-000000000000}"/>
  <bookViews>
    <workbookView xWindow="53328" yWindow="1056" windowWidth="34560" windowHeight="18684" tabRatio="159" xr2:uid="{65D212B0-7C72-4F4B-A07B-11D2AF225BE5}"/>
  </bookViews>
  <sheets>
    <sheet name="Color Formul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19" i="2" l="1"/>
  <c r="AE20" i="2" s="1"/>
  <c r="AE21" i="2" s="1"/>
  <c r="AE22" i="2" s="1"/>
  <c r="AE23" i="2" s="1"/>
  <c r="AE24" i="2" s="1"/>
  <c r="AE25" i="2" s="1"/>
  <c r="AE26" i="2" s="1"/>
  <c r="AE27" i="2" s="1"/>
  <c r="AE28" i="2" s="1"/>
  <c r="AF19" i="2"/>
  <c r="AF20" i="2" s="1"/>
  <c r="AF21" i="2" s="1"/>
  <c r="AF22" i="2" s="1"/>
  <c r="AF23" i="2" s="1"/>
  <c r="AF24" i="2" s="1"/>
  <c r="AF25" i="2" s="1"/>
  <c r="AF26" i="2" s="1"/>
  <c r="AF27" i="2" s="1"/>
  <c r="AF28" i="2" s="1"/>
  <c r="AG19" i="2"/>
  <c r="AG20" i="2"/>
  <c r="AG21" i="2" s="1"/>
  <c r="AG22" i="2" s="1"/>
  <c r="AG23" i="2" s="1"/>
  <c r="AG24" i="2" s="1"/>
  <c r="AG25" i="2" s="1"/>
  <c r="AG26" i="2" s="1"/>
  <c r="AG27" i="2" s="1"/>
  <c r="AG28" i="2" s="1"/>
  <c r="AI19" i="2" l="1"/>
  <c r="AI20" i="2"/>
  <c r="AJ20" i="2" s="1"/>
  <c r="AI21" i="2"/>
  <c r="AI22" i="2"/>
  <c r="AI23" i="2"/>
  <c r="AJ23" i="2" s="1"/>
  <c r="AI24" i="2"/>
  <c r="AI25" i="2"/>
  <c r="AJ25" i="2" s="1"/>
  <c r="AK25" i="2" s="1"/>
  <c r="AI26" i="2"/>
  <c r="AI27" i="2"/>
  <c r="AI28" i="2"/>
  <c r="AI18" i="2"/>
  <c r="AM20" i="2"/>
  <c r="AM23" i="2"/>
  <c r="AM25" i="2"/>
  <c r="AK20" i="2" l="1"/>
  <c r="AL20" i="2"/>
  <c r="AK23" i="2"/>
  <c r="AL23" i="2"/>
  <c r="AL25" i="2"/>
  <c r="J4" i="2"/>
  <c r="K4" i="2"/>
  <c r="I4" i="2"/>
  <c r="AJ28" i="2"/>
  <c r="AM28" i="2"/>
  <c r="AJ18" i="2"/>
  <c r="AM18" i="2"/>
  <c r="AM19" i="2"/>
  <c r="AM21" i="2"/>
  <c r="AM22" i="2"/>
  <c r="AM24" i="2"/>
  <c r="AM26" i="2"/>
  <c r="AM27" i="2"/>
  <c r="AI4" i="2"/>
  <c r="AJ4" i="2" s="1"/>
  <c r="AK4" i="2" s="1"/>
  <c r="AM4" i="2"/>
  <c r="AI5" i="2"/>
  <c r="AI6" i="2"/>
  <c r="AI7" i="2"/>
  <c r="AI8" i="2"/>
  <c r="AI9" i="2"/>
  <c r="AI10" i="2"/>
  <c r="AI11" i="2"/>
  <c r="AI12" i="2"/>
  <c r="AI13" i="2"/>
  <c r="AI14" i="2"/>
  <c r="AI15" i="2"/>
  <c r="AM5" i="2"/>
  <c r="AM6" i="2"/>
  <c r="AM7" i="2"/>
  <c r="AM8" i="2"/>
  <c r="AM9" i="2"/>
  <c r="AM10" i="2"/>
  <c r="AM11" i="2"/>
  <c r="AM12" i="2"/>
  <c r="AM13" i="2"/>
  <c r="AM14" i="2"/>
  <c r="AM15" i="2"/>
  <c r="AC17" i="2"/>
  <c r="AB17" i="2"/>
  <c r="AA17" i="2"/>
  <c r="AI16" i="2"/>
  <c r="AJ16" i="2" s="1"/>
  <c r="Y17" i="2"/>
  <c r="AK28" i="2" l="1"/>
  <c r="AL28" i="2"/>
  <c r="AL4" i="2"/>
  <c r="AJ19" i="2"/>
  <c r="AL19" i="2" s="1"/>
  <c r="AJ15" i="2"/>
  <c r="AL15" i="2" s="1"/>
  <c r="AL16" i="2"/>
  <c r="AK16" i="2"/>
  <c r="AK18" i="2"/>
  <c r="AL18" i="2"/>
  <c r="AF16" i="2" l="1"/>
  <c r="AE16" i="2"/>
  <c r="AG16" i="2"/>
  <c r="AF18" i="2"/>
  <c r="AB20" i="2" s="1"/>
  <c r="AE18" i="2"/>
  <c r="AA20" i="2" s="1"/>
  <c r="AG18" i="2"/>
  <c r="AC20" i="2" s="1"/>
  <c r="AK19" i="2"/>
  <c r="AK15" i="2"/>
  <c r="Y20" i="2"/>
  <c r="AG15" i="2" l="1"/>
  <c r="AE15" i="2"/>
  <c r="AF15" i="2"/>
  <c r="AJ21" i="2"/>
  <c r="AL21" i="2" s="1"/>
  <c r="AJ14" i="2"/>
  <c r="AL14" i="2" s="1"/>
  <c r="AJ13" i="2"/>
  <c r="AB16" i="2"/>
  <c r="AB18" i="2"/>
  <c r="AC18" i="2"/>
  <c r="AJ22" i="2"/>
  <c r="AA16" i="2"/>
  <c r="AC16" i="2"/>
  <c r="AA18" i="2"/>
  <c r="Y16" i="2"/>
  <c r="Y18" i="2"/>
  <c r="AK21" i="2" l="1"/>
  <c r="AB23" i="2" s="1"/>
  <c r="AK14" i="2"/>
  <c r="AF14" i="2" s="1"/>
  <c r="AF13" i="2" s="1"/>
  <c r="AJ12" i="2"/>
  <c r="AK13" i="2"/>
  <c r="AL13" i="2"/>
  <c r="AA15" i="2"/>
  <c r="AB19" i="2"/>
  <c r="AK22" i="2"/>
  <c r="AL22" i="2"/>
  <c r="AB15" i="2"/>
  <c r="AC15" i="2"/>
  <c r="AA19" i="2"/>
  <c r="AJ24" i="2"/>
  <c r="AC19" i="2"/>
  <c r="Y19" i="2"/>
  <c r="AG14" i="2" l="1"/>
  <c r="AG13" i="2" s="1"/>
  <c r="AE14" i="2"/>
  <c r="AE13" i="2" s="1"/>
  <c r="AB25" i="2"/>
  <c r="AJ26" i="2"/>
  <c r="AL26" i="2" s="1"/>
  <c r="AJ27" i="2"/>
  <c r="AL12" i="2"/>
  <c r="AF12" i="2" s="1"/>
  <c r="AK12" i="2"/>
  <c r="AJ11" i="2"/>
  <c r="AL24" i="2"/>
  <c r="AK24" i="2"/>
  <c r="AB14" i="2"/>
  <c r="AB21" i="2"/>
  <c r="Y15" i="2"/>
  <c r="AE12" i="2" l="1"/>
  <c r="AA14" i="2"/>
  <c r="AG12" i="2"/>
  <c r="AG11" i="2" s="1"/>
  <c r="AC14" i="2"/>
  <c r="AA25" i="2"/>
  <c r="AA23" i="2"/>
  <c r="AC25" i="2"/>
  <c r="AC23" i="2"/>
  <c r="AC21" i="2"/>
  <c r="AA21" i="2"/>
  <c r="AK26" i="2"/>
  <c r="AK27" i="2"/>
  <c r="AL27" i="2"/>
  <c r="AJ10" i="2"/>
  <c r="AL11" i="2"/>
  <c r="AF11" i="2" s="1"/>
  <c r="AK11" i="2"/>
  <c r="AB22" i="2"/>
  <c r="AB13" i="2"/>
  <c r="AA22" i="2"/>
  <c r="Y21" i="2"/>
  <c r="Y25" i="2"/>
  <c r="Y23" i="2"/>
  <c r="AE11" i="2" l="1"/>
  <c r="AC22" i="2"/>
  <c r="AA13" i="2"/>
  <c r="AC13" i="2"/>
  <c r="AL10" i="2"/>
  <c r="AF10" i="2" s="1"/>
  <c r="AK10" i="2"/>
  <c r="AJ9" i="2"/>
  <c r="AB12" i="2"/>
  <c r="AC12" i="2"/>
  <c r="AB24" i="2"/>
  <c r="AA12" i="2"/>
  <c r="Y14" i="2"/>
  <c r="Y22" i="2"/>
  <c r="Y12" i="2"/>
  <c r="Y13" i="2"/>
  <c r="AE10" i="2" l="1"/>
  <c r="AG10" i="2"/>
  <c r="AG9" i="2" s="1"/>
  <c r="AA24" i="2"/>
  <c r="AC24" i="2"/>
  <c r="AB26" i="2"/>
  <c r="AC26" i="2"/>
  <c r="AA26" i="2"/>
  <c r="AL9" i="2"/>
  <c r="AF9" i="2" s="1"/>
  <c r="AK9" i="2"/>
  <c r="AJ8" i="2"/>
  <c r="AA11" i="2"/>
  <c r="AC11" i="2"/>
  <c r="AB11" i="2"/>
  <c r="Y11" i="2"/>
  <c r="Y26" i="2"/>
  <c r="Y24" i="2"/>
  <c r="AE9" i="2" l="1"/>
  <c r="AA27" i="2"/>
  <c r="AA28" i="2"/>
  <c r="AC27" i="2"/>
  <c r="AC28" i="2"/>
  <c r="AB27" i="2"/>
  <c r="AB28" i="2"/>
  <c r="AJ7" i="2"/>
  <c r="AK8" i="2"/>
  <c r="AL8" i="2"/>
  <c r="AF8" i="2" s="1"/>
  <c r="AA10" i="2"/>
  <c r="AB10" i="2"/>
  <c r="AC10" i="2"/>
  <c r="Y10" i="2"/>
  <c r="AE8" i="2" l="1"/>
  <c r="AG8" i="2"/>
  <c r="AJ5" i="2"/>
  <c r="AJ6" i="2"/>
  <c r="AL7" i="2"/>
  <c r="AF7" i="2" s="1"/>
  <c r="AK7" i="2"/>
  <c r="AC9" i="2"/>
  <c r="AA9" i="2"/>
  <c r="AB9" i="2"/>
  <c r="Y27" i="2"/>
  <c r="Y28" i="2"/>
  <c r="Y9" i="2"/>
  <c r="AG7" i="2" l="1"/>
  <c r="AE7" i="2"/>
  <c r="AL6" i="2"/>
  <c r="AF6" i="2" s="1"/>
  <c r="AF5" i="2" s="1"/>
  <c r="AF4" i="2" s="1"/>
  <c r="AK6" i="2"/>
  <c r="AK5" i="2"/>
  <c r="AL5" i="2"/>
  <c r="AC8" i="2"/>
  <c r="AB8" i="2"/>
  <c r="AA8" i="2"/>
  <c r="Y8" i="2"/>
  <c r="AE6" i="2" l="1"/>
  <c r="AE5" i="2" s="1"/>
  <c r="AE4" i="2" s="1"/>
  <c r="AG6" i="2"/>
  <c r="AG5" i="2" s="1"/>
  <c r="AG4" i="2" s="1"/>
  <c r="AC7" i="2"/>
  <c r="AA7" i="2"/>
  <c r="AB7" i="2"/>
  <c r="Y7" i="2"/>
  <c r="AC6" i="2" l="1"/>
  <c r="AB6" i="2"/>
  <c r="AA6" i="2"/>
  <c r="Y6" i="2"/>
  <c r="AB5" i="2" l="1"/>
  <c r="AB4" i="2"/>
  <c r="AA5" i="2"/>
  <c r="AA4" i="2"/>
  <c r="AC5" i="2"/>
  <c r="AC4" i="2"/>
  <c r="Y5" i="2"/>
  <c r="Y4" i="2"/>
  <c r="G17" i="2" l="1"/>
  <c r="F17" i="2"/>
  <c r="E17" i="2"/>
  <c r="C17" i="2"/>
  <c r="L18" i="2" l="1"/>
  <c r="L19" i="2" s="1"/>
  <c r="L20" i="2" s="1"/>
  <c r="L21" i="2" s="1"/>
  <c r="L22" i="2" s="1"/>
  <c r="L23" i="2" s="1"/>
  <c r="L16" i="2"/>
  <c r="L15" i="2" s="1"/>
  <c r="L14" i="2" s="1"/>
  <c r="L13" i="2" s="1"/>
  <c r="L12" i="2" s="1"/>
  <c r="L11" i="2" s="1"/>
  <c r="M116" i="2"/>
  <c r="N116" i="2" s="1"/>
  <c r="M117" i="2"/>
  <c r="O117" i="2" s="1"/>
  <c r="M118" i="2"/>
  <c r="N118" i="2" s="1"/>
  <c r="M119" i="2"/>
  <c r="N119" i="2" s="1"/>
  <c r="M120" i="2"/>
  <c r="N120" i="2" s="1"/>
  <c r="M121" i="2"/>
  <c r="O121" i="2" s="1"/>
  <c r="M122" i="2"/>
  <c r="N122" i="2" s="1"/>
  <c r="M123" i="2"/>
  <c r="N123" i="2" s="1"/>
  <c r="M124" i="2"/>
  <c r="N124" i="2" s="1"/>
  <c r="M125" i="2"/>
  <c r="O125" i="2" s="1"/>
  <c r="M126" i="2"/>
  <c r="N126" i="2" s="1"/>
  <c r="M127" i="2"/>
  <c r="N127" i="2" s="1"/>
  <c r="M128" i="2"/>
  <c r="N128" i="2" s="1"/>
  <c r="M115" i="2"/>
  <c r="N115" i="2" s="1"/>
  <c r="W115" i="2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V115" i="2"/>
  <c r="V116" i="2" s="1"/>
  <c r="V117" i="2" s="1"/>
  <c r="V118" i="2" s="1"/>
  <c r="V119" i="2" s="1"/>
  <c r="V120" i="2" s="1"/>
  <c r="V121" i="2" s="1"/>
  <c r="V122" i="2" s="1"/>
  <c r="V123" i="2" s="1"/>
  <c r="V124" i="2" s="1"/>
  <c r="V125" i="2" s="1"/>
  <c r="V126" i="2" s="1"/>
  <c r="V127" i="2" s="1"/>
  <c r="V128" i="2" s="1"/>
  <c r="I113" i="2"/>
  <c r="G113" i="2"/>
  <c r="E113" i="2"/>
  <c r="M114" i="2"/>
  <c r="N114" i="2" s="1"/>
  <c r="M68" i="2"/>
  <c r="O68" i="2" s="1"/>
  <c r="M60" i="2"/>
  <c r="O60" i="2" s="1"/>
  <c r="M61" i="2"/>
  <c r="N61" i="2" s="1"/>
  <c r="M62" i="2"/>
  <c r="N62" i="2" s="1"/>
  <c r="M63" i="2"/>
  <c r="N63" i="2" s="1"/>
  <c r="M64" i="2"/>
  <c r="N64" i="2" s="1"/>
  <c r="M65" i="2"/>
  <c r="N65" i="2" s="1"/>
  <c r="M66" i="2"/>
  <c r="N66" i="2" s="1"/>
  <c r="M67" i="2"/>
  <c r="O67" i="2" s="1"/>
  <c r="I58" i="2"/>
  <c r="G58" i="2"/>
  <c r="E58" i="2"/>
  <c r="M59" i="2"/>
  <c r="O59" i="2" s="1"/>
  <c r="T91" i="2"/>
  <c r="R91" i="2"/>
  <c r="P91" i="2"/>
  <c r="O89" i="2"/>
  <c r="S89" i="2" s="1"/>
  <c r="T77" i="2"/>
  <c r="R77" i="2"/>
  <c r="P77" i="2"/>
  <c r="O75" i="2"/>
  <c r="S75" i="2" s="1"/>
  <c r="T44" i="2"/>
  <c r="R44" i="2"/>
  <c r="P44" i="2"/>
  <c r="P37" i="2"/>
  <c r="T37" i="2" s="1"/>
  <c r="P36" i="2"/>
  <c r="T36" i="2" s="1"/>
  <c r="E36" i="2"/>
  <c r="I36" i="2" s="1"/>
  <c r="E37" i="2"/>
  <c r="G37" i="2" s="1"/>
  <c r="E77" i="2"/>
  <c r="G77" i="2"/>
  <c r="I77" i="2"/>
  <c r="E91" i="2"/>
  <c r="G91" i="2"/>
  <c r="I91" i="2"/>
  <c r="D89" i="2"/>
  <c r="E89" i="2" s="1"/>
  <c r="D75" i="2"/>
  <c r="E75" i="2" s="1"/>
  <c r="N91" i="2"/>
  <c r="C113" i="2"/>
  <c r="N77" i="2"/>
  <c r="C77" i="2"/>
  <c r="C58" i="2"/>
  <c r="N44" i="2"/>
  <c r="C91" i="2"/>
  <c r="G36" i="2" l="1"/>
  <c r="J43" i="2" s="1"/>
  <c r="J42" i="2" s="1"/>
  <c r="J41" i="2" s="1"/>
  <c r="J40" i="2" s="1"/>
  <c r="J39" i="2" s="1"/>
  <c r="J38" i="2" s="1"/>
  <c r="O126" i="2"/>
  <c r="M18" i="2"/>
  <c r="O18" i="2" s="1"/>
  <c r="M16" i="2"/>
  <c r="M19" i="2"/>
  <c r="O19" i="2" s="1"/>
  <c r="M11" i="2"/>
  <c r="N11" i="2" s="1"/>
  <c r="M14" i="2"/>
  <c r="N14" i="2" s="1"/>
  <c r="M12" i="2"/>
  <c r="M15" i="2"/>
  <c r="M13" i="2"/>
  <c r="N125" i="2"/>
  <c r="O119" i="2"/>
  <c r="O123" i="2"/>
  <c r="O127" i="2"/>
  <c r="O115" i="2"/>
  <c r="O122" i="2"/>
  <c r="O118" i="2"/>
  <c r="N121" i="2"/>
  <c r="N117" i="2"/>
  <c r="O128" i="2"/>
  <c r="O120" i="2"/>
  <c r="O124" i="2"/>
  <c r="O116" i="2"/>
  <c r="O114" i="2"/>
  <c r="F114" i="2" s="1"/>
  <c r="F43" i="2"/>
  <c r="F42" i="2" s="1"/>
  <c r="F41" i="2" s="1"/>
  <c r="F40" i="2" s="1"/>
  <c r="F39" i="2" s="1"/>
  <c r="F38" i="2" s="1"/>
  <c r="N68" i="2"/>
  <c r="F68" i="2" s="1"/>
  <c r="E68" i="2" s="1"/>
  <c r="N67" i="2"/>
  <c r="J67" i="2" s="1"/>
  <c r="I67" i="2" s="1"/>
  <c r="O65" i="2"/>
  <c r="H65" i="2" s="1"/>
  <c r="G65" i="2" s="1"/>
  <c r="O63" i="2"/>
  <c r="J63" i="2" s="1"/>
  <c r="I63" i="2" s="1"/>
  <c r="O64" i="2"/>
  <c r="H64" i="2" s="1"/>
  <c r="G64" i="2" s="1"/>
  <c r="N60" i="2"/>
  <c r="H60" i="2" s="1"/>
  <c r="G60" i="2" s="1"/>
  <c r="O62" i="2"/>
  <c r="H62" i="2" s="1"/>
  <c r="G62" i="2" s="1"/>
  <c r="O66" i="2"/>
  <c r="J66" i="2" s="1"/>
  <c r="I66" i="2" s="1"/>
  <c r="O61" i="2"/>
  <c r="N59" i="2"/>
  <c r="J59" i="2" s="1"/>
  <c r="P89" i="2"/>
  <c r="S92" i="2" s="1"/>
  <c r="P75" i="2"/>
  <c r="U78" i="2" s="1"/>
  <c r="R36" i="2"/>
  <c r="S43" i="2" s="1"/>
  <c r="R37" i="2"/>
  <c r="S45" i="2" s="1"/>
  <c r="E44" i="2"/>
  <c r="I44" i="2"/>
  <c r="G44" i="2"/>
  <c r="I37" i="2"/>
  <c r="H89" i="2"/>
  <c r="H75" i="2"/>
  <c r="C44" i="2"/>
  <c r="H43" i="2" l="1"/>
  <c r="H42" i="2" s="1"/>
  <c r="H41" i="2" s="1"/>
  <c r="H40" i="2" s="1"/>
  <c r="H39" i="2" s="1"/>
  <c r="H38" i="2" s="1"/>
  <c r="F115" i="2"/>
  <c r="E115" i="2" s="1"/>
  <c r="N18" i="2"/>
  <c r="J18" i="2" s="1"/>
  <c r="F18" i="2" s="1"/>
  <c r="O16" i="2"/>
  <c r="N16" i="2"/>
  <c r="N19" i="2"/>
  <c r="O11" i="2"/>
  <c r="O14" i="2"/>
  <c r="O12" i="2"/>
  <c r="N12" i="2"/>
  <c r="M20" i="2"/>
  <c r="N15" i="2"/>
  <c r="O15" i="2"/>
  <c r="O13" i="2"/>
  <c r="N13" i="2"/>
  <c r="H67" i="2"/>
  <c r="G67" i="2" s="1"/>
  <c r="F67" i="2"/>
  <c r="E67" i="2" s="1"/>
  <c r="F65" i="2"/>
  <c r="E65" i="2" s="1"/>
  <c r="F116" i="2"/>
  <c r="F117" i="2" s="1"/>
  <c r="E114" i="2"/>
  <c r="J114" i="2"/>
  <c r="H114" i="2"/>
  <c r="F45" i="2"/>
  <c r="F46" i="2" s="1"/>
  <c r="F47" i="2" s="1"/>
  <c r="F48" i="2" s="1"/>
  <c r="F49" i="2" s="1"/>
  <c r="F50" i="2" s="1"/>
  <c r="H45" i="2"/>
  <c r="H46" i="2" s="1"/>
  <c r="H47" i="2" s="1"/>
  <c r="H48" i="2" s="1"/>
  <c r="H49" i="2" s="1"/>
  <c r="H50" i="2" s="1"/>
  <c r="J45" i="2"/>
  <c r="J46" i="2" s="1"/>
  <c r="J47" i="2" s="1"/>
  <c r="J48" i="2" s="1"/>
  <c r="J49" i="2" s="1"/>
  <c r="J50" i="2" s="1"/>
  <c r="J78" i="2"/>
  <c r="J79" i="2" s="1"/>
  <c r="J80" i="2" s="1"/>
  <c r="J81" i="2" s="1"/>
  <c r="J82" i="2" s="1"/>
  <c r="J83" i="2" s="1"/>
  <c r="J84" i="2" s="1"/>
  <c r="J85" i="2" s="1"/>
  <c r="J86" i="2" s="1"/>
  <c r="H78" i="2"/>
  <c r="H79" i="2" s="1"/>
  <c r="H80" i="2" s="1"/>
  <c r="H81" i="2" s="1"/>
  <c r="H82" i="2" s="1"/>
  <c r="H83" i="2" s="1"/>
  <c r="H84" i="2" s="1"/>
  <c r="H85" i="2" s="1"/>
  <c r="H86" i="2" s="1"/>
  <c r="F78" i="2"/>
  <c r="F79" i="2" s="1"/>
  <c r="F80" i="2" s="1"/>
  <c r="F81" i="2" s="1"/>
  <c r="F82" i="2" s="1"/>
  <c r="F83" i="2" s="1"/>
  <c r="F84" i="2" s="1"/>
  <c r="F85" i="2" s="1"/>
  <c r="F86" i="2" s="1"/>
  <c r="F92" i="2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J92" i="2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H92" i="2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J65" i="2"/>
  <c r="I65" i="2" s="1"/>
  <c r="J68" i="2"/>
  <c r="I68" i="2" s="1"/>
  <c r="H68" i="2"/>
  <c r="G68" i="2" s="1"/>
  <c r="J62" i="2"/>
  <c r="I62" i="2" s="1"/>
  <c r="F62" i="2"/>
  <c r="E62" i="2" s="1"/>
  <c r="J60" i="2"/>
  <c r="I60" i="2" s="1"/>
  <c r="F60" i="2"/>
  <c r="E60" i="2" s="1"/>
  <c r="H63" i="2"/>
  <c r="G63" i="2" s="1"/>
  <c r="J64" i="2"/>
  <c r="I64" i="2" s="1"/>
  <c r="F64" i="2"/>
  <c r="E64" i="2" s="1"/>
  <c r="F63" i="2"/>
  <c r="E63" i="2" s="1"/>
  <c r="H66" i="2"/>
  <c r="G66" i="2" s="1"/>
  <c r="F66" i="2"/>
  <c r="E66" i="2" s="1"/>
  <c r="J61" i="2"/>
  <c r="I61" i="2" s="1"/>
  <c r="F61" i="2"/>
  <c r="E61" i="2" s="1"/>
  <c r="H61" i="2"/>
  <c r="G61" i="2" s="1"/>
  <c r="H59" i="2"/>
  <c r="F59" i="2"/>
  <c r="I59" i="2"/>
  <c r="Q78" i="2"/>
  <c r="Q79" i="2" s="1"/>
  <c r="R92" i="2"/>
  <c r="S93" i="2"/>
  <c r="U92" i="2"/>
  <c r="Q92" i="2"/>
  <c r="U79" i="2"/>
  <c r="T78" i="2"/>
  <c r="S78" i="2"/>
  <c r="U45" i="2"/>
  <c r="U46" i="2" s="1"/>
  <c r="Q45" i="2"/>
  <c r="R43" i="2"/>
  <c r="S42" i="2"/>
  <c r="U43" i="2"/>
  <c r="Q43" i="2"/>
  <c r="G43" i="2"/>
  <c r="C68" i="2"/>
  <c r="I18" i="2" l="1"/>
  <c r="E18" i="2" s="1"/>
  <c r="K18" i="2"/>
  <c r="K19" i="2" s="1"/>
  <c r="J16" i="2"/>
  <c r="F16" i="2" s="1"/>
  <c r="K16" i="2"/>
  <c r="I16" i="2"/>
  <c r="J19" i="2"/>
  <c r="F19" i="2" s="1"/>
  <c r="M21" i="2"/>
  <c r="O20" i="2"/>
  <c r="N20" i="2"/>
  <c r="E116" i="2"/>
  <c r="G114" i="2"/>
  <c r="H115" i="2"/>
  <c r="I114" i="2"/>
  <c r="J115" i="2"/>
  <c r="E117" i="2"/>
  <c r="F118" i="2"/>
  <c r="E92" i="2"/>
  <c r="E59" i="2"/>
  <c r="G59" i="2"/>
  <c r="P92" i="2"/>
  <c r="Q93" i="2"/>
  <c r="T92" i="2"/>
  <c r="U93" i="2"/>
  <c r="R93" i="2"/>
  <c r="S94" i="2"/>
  <c r="P78" i="2"/>
  <c r="S79" i="2"/>
  <c r="R78" i="2"/>
  <c r="U80" i="2"/>
  <c r="T79" i="2"/>
  <c r="T45" i="2"/>
  <c r="U42" i="2"/>
  <c r="T43" i="2"/>
  <c r="S46" i="2"/>
  <c r="R45" i="2"/>
  <c r="Q46" i="2"/>
  <c r="P45" i="2"/>
  <c r="Q42" i="2"/>
  <c r="P43" i="2"/>
  <c r="R42" i="2"/>
  <c r="S41" i="2"/>
  <c r="U47" i="2"/>
  <c r="T46" i="2"/>
  <c r="I42" i="2"/>
  <c r="E43" i="2"/>
  <c r="I40" i="2"/>
  <c r="G78" i="2"/>
  <c r="G45" i="2"/>
  <c r="E45" i="2"/>
  <c r="I45" i="2"/>
  <c r="I78" i="2"/>
  <c r="I43" i="2"/>
  <c r="I41" i="2"/>
  <c r="I38" i="2"/>
  <c r="E42" i="2"/>
  <c r="G42" i="2"/>
  <c r="G92" i="2"/>
  <c r="I92" i="2"/>
  <c r="E78" i="2"/>
  <c r="E93" i="2"/>
  <c r="N43" i="2"/>
  <c r="N45" i="2"/>
  <c r="C92" i="2"/>
  <c r="N78" i="2"/>
  <c r="C42" i="2"/>
  <c r="C78" i="2"/>
  <c r="C45" i="2"/>
  <c r="C114" i="2"/>
  <c r="C43" i="2"/>
  <c r="E16" i="2" l="1"/>
  <c r="I15" i="2"/>
  <c r="K15" i="2"/>
  <c r="K14" i="2" s="1"/>
  <c r="K13" i="2" s="1"/>
  <c r="K12" i="2" s="1"/>
  <c r="K11" i="2" s="1"/>
  <c r="I14" i="2"/>
  <c r="I13" i="2" s="1"/>
  <c r="I12" i="2" s="1"/>
  <c r="I11" i="2" s="1"/>
  <c r="I19" i="2"/>
  <c r="E19" i="2" s="1"/>
  <c r="J15" i="2"/>
  <c r="J14" i="2" s="1"/>
  <c r="K20" i="2"/>
  <c r="J20" i="2"/>
  <c r="O21" i="2"/>
  <c r="N21" i="2"/>
  <c r="M23" i="2"/>
  <c r="M22" i="2"/>
  <c r="I115" i="2"/>
  <c r="J116" i="2"/>
  <c r="G115" i="2"/>
  <c r="H116" i="2"/>
  <c r="F119" i="2"/>
  <c r="E118" i="2"/>
  <c r="R94" i="2"/>
  <c r="S95" i="2"/>
  <c r="T93" i="2"/>
  <c r="U94" i="2"/>
  <c r="P93" i="2"/>
  <c r="Q94" i="2"/>
  <c r="U81" i="2"/>
  <c r="T80" i="2"/>
  <c r="S80" i="2"/>
  <c r="R79" i="2"/>
  <c r="Q80" i="2"/>
  <c r="P79" i="2"/>
  <c r="S47" i="2"/>
  <c r="R46" i="2"/>
  <c r="Q41" i="2"/>
  <c r="P42" i="2"/>
  <c r="Q47" i="2"/>
  <c r="P46" i="2"/>
  <c r="U48" i="2"/>
  <c r="T47" i="2"/>
  <c r="S40" i="2"/>
  <c r="R41" i="2"/>
  <c r="U41" i="2"/>
  <c r="T42" i="2"/>
  <c r="G46" i="2"/>
  <c r="I46" i="2"/>
  <c r="E46" i="2"/>
  <c r="I39" i="2"/>
  <c r="G41" i="2"/>
  <c r="E41" i="2"/>
  <c r="G93" i="2"/>
  <c r="I93" i="2"/>
  <c r="E79" i="2"/>
  <c r="G79" i="2"/>
  <c r="I79" i="2"/>
  <c r="G94" i="2"/>
  <c r="E94" i="2"/>
  <c r="I94" i="2"/>
  <c r="N92" i="2"/>
  <c r="C93" i="2"/>
  <c r="N42" i="2"/>
  <c r="N79" i="2"/>
  <c r="C59" i="2"/>
  <c r="C46" i="2"/>
  <c r="C94" i="2"/>
  <c r="N46" i="2"/>
  <c r="C79" i="2"/>
  <c r="C115" i="2"/>
  <c r="N93" i="2"/>
  <c r="C41" i="2"/>
  <c r="F15" i="2" l="1"/>
  <c r="E15" i="2"/>
  <c r="I20" i="2"/>
  <c r="E20" i="2" s="1"/>
  <c r="K21" i="2"/>
  <c r="F20" i="2"/>
  <c r="J21" i="2"/>
  <c r="N22" i="2"/>
  <c r="O22" i="2"/>
  <c r="N23" i="2"/>
  <c r="O23" i="2"/>
  <c r="F14" i="2"/>
  <c r="J13" i="2"/>
  <c r="E14" i="2"/>
  <c r="H117" i="2"/>
  <c r="G116" i="2"/>
  <c r="I116" i="2"/>
  <c r="J117" i="2"/>
  <c r="F120" i="2"/>
  <c r="E119" i="2"/>
  <c r="P94" i="2"/>
  <c r="Q95" i="2"/>
  <c r="R95" i="2"/>
  <c r="S96" i="2"/>
  <c r="T94" i="2"/>
  <c r="U95" i="2"/>
  <c r="P80" i="2"/>
  <c r="Q81" i="2"/>
  <c r="S81" i="2"/>
  <c r="R80" i="2"/>
  <c r="U82" i="2"/>
  <c r="T81" i="2"/>
  <c r="U49" i="2"/>
  <c r="T48" i="2"/>
  <c r="Q48" i="2"/>
  <c r="P47" i="2"/>
  <c r="U40" i="2"/>
  <c r="T41" i="2"/>
  <c r="P41" i="2"/>
  <c r="Q40" i="2"/>
  <c r="S39" i="2"/>
  <c r="R40" i="2"/>
  <c r="S48" i="2"/>
  <c r="R47" i="2"/>
  <c r="G47" i="2"/>
  <c r="E47" i="2"/>
  <c r="I47" i="2"/>
  <c r="G40" i="2"/>
  <c r="E40" i="2"/>
  <c r="E80" i="2"/>
  <c r="I80" i="2"/>
  <c r="G80" i="2"/>
  <c r="I95" i="2"/>
  <c r="E95" i="2"/>
  <c r="G95" i="2"/>
  <c r="C60" i="2"/>
  <c r="C80" i="2"/>
  <c r="N47" i="2"/>
  <c r="C40" i="2"/>
  <c r="N41" i="2"/>
  <c r="C95" i="2"/>
  <c r="C47" i="2"/>
  <c r="C116" i="2"/>
  <c r="I21" i="2" l="1"/>
  <c r="E21" i="2" s="1"/>
  <c r="K22" i="2"/>
  <c r="K23" i="2" s="1"/>
  <c r="J22" i="2"/>
  <c r="F21" i="2"/>
  <c r="E13" i="2"/>
  <c r="J12" i="2"/>
  <c r="F13" i="2"/>
  <c r="I117" i="2"/>
  <c r="J118" i="2"/>
  <c r="G117" i="2"/>
  <c r="H118" i="2"/>
  <c r="F121" i="2"/>
  <c r="E120" i="2"/>
  <c r="T95" i="2"/>
  <c r="U96" i="2"/>
  <c r="R96" i="2"/>
  <c r="S97" i="2"/>
  <c r="P95" i="2"/>
  <c r="Q96" i="2"/>
  <c r="U83" i="2"/>
  <c r="T82" i="2"/>
  <c r="S82" i="2"/>
  <c r="R81" i="2"/>
  <c r="Q82" i="2"/>
  <c r="P81" i="2"/>
  <c r="S49" i="2"/>
  <c r="R48" i="2"/>
  <c r="Q49" i="2"/>
  <c r="P48" i="2"/>
  <c r="P40" i="2"/>
  <c r="Q39" i="2"/>
  <c r="U39" i="2"/>
  <c r="T40" i="2"/>
  <c r="S38" i="2"/>
  <c r="R38" i="2" s="1"/>
  <c r="R39" i="2"/>
  <c r="U50" i="2"/>
  <c r="T50" i="2" s="1"/>
  <c r="T49" i="2"/>
  <c r="I48" i="2"/>
  <c r="E48" i="2"/>
  <c r="G48" i="2"/>
  <c r="G39" i="2"/>
  <c r="G38" i="2"/>
  <c r="E39" i="2"/>
  <c r="E38" i="2"/>
  <c r="E81" i="2"/>
  <c r="G81" i="2"/>
  <c r="I81" i="2"/>
  <c r="E96" i="2"/>
  <c r="G96" i="2"/>
  <c r="I96" i="2"/>
  <c r="C39" i="2"/>
  <c r="C48" i="2"/>
  <c r="N94" i="2"/>
  <c r="C96" i="2"/>
  <c r="N48" i="2"/>
  <c r="C61" i="2"/>
  <c r="C62" i="2"/>
  <c r="N80" i="2"/>
  <c r="N95" i="2"/>
  <c r="C117" i="2"/>
  <c r="C38" i="2"/>
  <c r="N40" i="2"/>
  <c r="C81" i="2"/>
  <c r="N81" i="2"/>
  <c r="I22" i="2" l="1"/>
  <c r="I23" i="2" s="1"/>
  <c r="E23" i="2" s="1"/>
  <c r="F22" i="2"/>
  <c r="J23" i="2"/>
  <c r="F23" i="2" s="1"/>
  <c r="E11" i="2"/>
  <c r="E12" i="2"/>
  <c r="F12" i="2"/>
  <c r="J11" i="2"/>
  <c r="F11" i="2" s="1"/>
  <c r="J119" i="2"/>
  <c r="I118" i="2"/>
  <c r="H119" i="2"/>
  <c r="G118" i="2"/>
  <c r="F122" i="2"/>
  <c r="E121" i="2"/>
  <c r="R97" i="2"/>
  <c r="S98" i="2"/>
  <c r="P96" i="2"/>
  <c r="Q97" i="2"/>
  <c r="T96" i="2"/>
  <c r="U97" i="2"/>
  <c r="Q83" i="2"/>
  <c r="P82" i="2"/>
  <c r="R82" i="2"/>
  <c r="S83" i="2"/>
  <c r="U84" i="2"/>
  <c r="T83" i="2"/>
  <c r="U38" i="2"/>
  <c r="T38" i="2" s="1"/>
  <c r="T39" i="2"/>
  <c r="Q38" i="2"/>
  <c r="P38" i="2" s="1"/>
  <c r="P39" i="2"/>
  <c r="P49" i="2"/>
  <c r="Q50" i="2"/>
  <c r="P50" i="2" s="1"/>
  <c r="S50" i="2"/>
  <c r="R50" i="2" s="1"/>
  <c r="R49" i="2"/>
  <c r="E49" i="2"/>
  <c r="E50" i="2"/>
  <c r="I49" i="2"/>
  <c r="I50" i="2"/>
  <c r="G49" i="2"/>
  <c r="G50" i="2"/>
  <c r="E82" i="2"/>
  <c r="I82" i="2"/>
  <c r="G82" i="2"/>
  <c r="I97" i="2"/>
  <c r="G97" i="2"/>
  <c r="E97" i="2"/>
  <c r="N82" i="2"/>
  <c r="C118" i="2"/>
  <c r="C97" i="2"/>
  <c r="C49" i="2"/>
  <c r="N39" i="2"/>
  <c r="N38" i="2"/>
  <c r="C50" i="2"/>
  <c r="C82" i="2"/>
  <c r="E22" i="2" l="1"/>
  <c r="G119" i="2"/>
  <c r="H120" i="2"/>
  <c r="I119" i="2"/>
  <c r="J120" i="2"/>
  <c r="E122" i="2"/>
  <c r="F123" i="2"/>
  <c r="T97" i="2"/>
  <c r="U98" i="2"/>
  <c r="R98" i="2"/>
  <c r="S99" i="2"/>
  <c r="P97" i="2"/>
  <c r="Q98" i="2"/>
  <c r="S84" i="2"/>
  <c r="R83" i="2"/>
  <c r="U85" i="2"/>
  <c r="U86" i="2" s="1"/>
  <c r="T84" i="2"/>
  <c r="Q84" i="2"/>
  <c r="P83" i="2"/>
  <c r="I83" i="2"/>
  <c r="G83" i="2"/>
  <c r="E83" i="2"/>
  <c r="E98" i="2"/>
  <c r="G98" i="2"/>
  <c r="I98" i="2"/>
  <c r="C63" i="2"/>
  <c r="N97" i="2"/>
  <c r="N50" i="2"/>
  <c r="N96" i="2"/>
  <c r="N83" i="2"/>
  <c r="C83" i="2"/>
  <c r="N49" i="2"/>
  <c r="C98" i="2"/>
  <c r="C119" i="2"/>
  <c r="C64" i="2"/>
  <c r="I120" i="2" l="1"/>
  <c r="J121" i="2"/>
  <c r="G120" i="2"/>
  <c r="H121" i="2"/>
  <c r="F124" i="2"/>
  <c r="E123" i="2"/>
  <c r="T98" i="2"/>
  <c r="U99" i="2"/>
  <c r="P98" i="2"/>
  <c r="Q99" i="2"/>
  <c r="R99" i="2"/>
  <c r="S100" i="2"/>
  <c r="Q85" i="2"/>
  <c r="P84" i="2"/>
  <c r="T86" i="2"/>
  <c r="T85" i="2"/>
  <c r="S85" i="2"/>
  <c r="R84" i="2"/>
  <c r="E84" i="2"/>
  <c r="G84" i="2"/>
  <c r="I84" i="2"/>
  <c r="E99" i="2"/>
  <c r="I99" i="2"/>
  <c r="G99" i="2"/>
  <c r="C84" i="2"/>
  <c r="C120" i="2"/>
  <c r="N84" i="2"/>
  <c r="C99" i="2"/>
  <c r="N98" i="2"/>
  <c r="G121" i="2" l="1"/>
  <c r="H122" i="2"/>
  <c r="J122" i="2"/>
  <c r="I121" i="2"/>
  <c r="F125" i="2"/>
  <c r="E124" i="2"/>
  <c r="T99" i="2"/>
  <c r="U100" i="2"/>
  <c r="R100" i="2"/>
  <c r="S101" i="2"/>
  <c r="P99" i="2"/>
  <c r="Q100" i="2"/>
  <c r="S86" i="2"/>
  <c r="R86" i="2" s="1"/>
  <c r="R85" i="2"/>
  <c r="Q86" i="2"/>
  <c r="P86" i="2" s="1"/>
  <c r="P85" i="2"/>
  <c r="I85" i="2"/>
  <c r="G85" i="2"/>
  <c r="E85" i="2"/>
  <c r="E100" i="2"/>
  <c r="G100" i="2"/>
  <c r="I100" i="2"/>
  <c r="C67" i="2"/>
  <c r="C121" i="2"/>
  <c r="N99" i="2"/>
  <c r="C85" i="2"/>
  <c r="C65" i="2"/>
  <c r="N86" i="2"/>
  <c r="C100" i="2"/>
  <c r="N85" i="2"/>
  <c r="C66" i="2"/>
  <c r="I122" i="2" l="1"/>
  <c r="J123" i="2"/>
  <c r="H123" i="2"/>
  <c r="G122" i="2"/>
  <c r="E125" i="2"/>
  <c r="F126" i="2"/>
  <c r="R101" i="2"/>
  <c r="S102" i="2"/>
  <c r="T100" i="2"/>
  <c r="U101" i="2"/>
  <c r="P100" i="2"/>
  <c r="Q101" i="2"/>
  <c r="I86" i="2"/>
  <c r="E86" i="2"/>
  <c r="G86" i="2"/>
  <c r="I101" i="2"/>
  <c r="G101" i="2"/>
  <c r="E101" i="2"/>
  <c r="N100" i="2"/>
  <c r="C86" i="2"/>
  <c r="C122" i="2"/>
  <c r="C101" i="2"/>
  <c r="H124" i="2" l="1"/>
  <c r="G123" i="2"/>
  <c r="J124" i="2"/>
  <c r="I123" i="2"/>
  <c r="E126" i="2"/>
  <c r="F127" i="2"/>
  <c r="P101" i="2"/>
  <c r="Q102" i="2"/>
  <c r="R102" i="2"/>
  <c r="S103" i="2"/>
  <c r="T101" i="2"/>
  <c r="U102" i="2"/>
  <c r="I102" i="2"/>
  <c r="E102" i="2"/>
  <c r="G102" i="2"/>
  <c r="C102" i="2"/>
  <c r="C123" i="2"/>
  <c r="J125" i="2" l="1"/>
  <c r="I124" i="2"/>
  <c r="G124" i="2"/>
  <c r="H125" i="2"/>
  <c r="F128" i="2"/>
  <c r="E128" i="2" s="1"/>
  <c r="E127" i="2"/>
  <c r="T102" i="2"/>
  <c r="U103" i="2"/>
  <c r="R103" i="2"/>
  <c r="S104" i="2"/>
  <c r="P102" i="2"/>
  <c r="Q103" i="2"/>
  <c r="I103" i="2"/>
  <c r="E103" i="2"/>
  <c r="G103" i="2"/>
  <c r="C124" i="2"/>
  <c r="N101" i="2"/>
  <c r="C103" i="2"/>
  <c r="N102" i="2"/>
  <c r="G125" i="2" l="1"/>
  <c r="H126" i="2"/>
  <c r="J126" i="2"/>
  <c r="I125" i="2"/>
  <c r="P103" i="2"/>
  <c r="Q104" i="2"/>
  <c r="R104" i="2"/>
  <c r="S105" i="2"/>
  <c r="T103" i="2"/>
  <c r="U104" i="2"/>
  <c r="G104" i="2"/>
  <c r="I104" i="2"/>
  <c r="E104" i="2"/>
  <c r="C104" i="2"/>
  <c r="C125" i="2"/>
  <c r="I126" i="2" l="1"/>
  <c r="J127" i="2"/>
  <c r="H127" i="2"/>
  <c r="G126" i="2"/>
  <c r="T104" i="2"/>
  <c r="U105" i="2"/>
  <c r="R105" i="2"/>
  <c r="S106" i="2"/>
  <c r="R106" i="2" s="1"/>
  <c r="P104" i="2"/>
  <c r="Q105" i="2"/>
  <c r="E105" i="2"/>
  <c r="E106" i="2"/>
  <c r="I105" i="2"/>
  <c r="I106" i="2"/>
  <c r="G106" i="2"/>
  <c r="G105" i="2"/>
  <c r="N103" i="2"/>
  <c r="C126" i="2"/>
  <c r="C105" i="2"/>
  <c r="N104" i="2"/>
  <c r="C106" i="2"/>
  <c r="H128" i="2" l="1"/>
  <c r="G128" i="2" s="1"/>
  <c r="G127" i="2"/>
  <c r="J128" i="2"/>
  <c r="I128" i="2" s="1"/>
  <c r="I127" i="2"/>
  <c r="P105" i="2"/>
  <c r="Q106" i="2"/>
  <c r="P106" i="2" s="1"/>
  <c r="T105" i="2"/>
  <c r="U106" i="2"/>
  <c r="T106" i="2" s="1"/>
  <c r="G16" i="2"/>
  <c r="G15" i="2"/>
  <c r="C128" i="2"/>
  <c r="C127" i="2"/>
  <c r="N105" i="2"/>
  <c r="N106" i="2"/>
  <c r="C15" i="2"/>
  <c r="C16" i="2"/>
  <c r="G14" i="2" l="1"/>
  <c r="C14" i="2"/>
  <c r="G13" i="2" l="1"/>
  <c r="C13" i="2"/>
  <c r="G11" i="2" l="1"/>
  <c r="G12" i="2"/>
  <c r="G18" i="2"/>
  <c r="G19" i="2"/>
  <c r="C18" i="2"/>
  <c r="C12" i="2"/>
  <c r="C11" i="2"/>
  <c r="C19" i="2"/>
  <c r="G20" i="2" l="1"/>
  <c r="C20" i="2"/>
  <c r="G21" i="2" l="1"/>
  <c r="C21" i="2"/>
  <c r="G22" i="2" l="1"/>
  <c r="G23" i="2"/>
  <c r="C23" i="2"/>
  <c r="C22" i="2"/>
</calcChain>
</file>

<file path=xl/sharedStrings.xml><?xml version="1.0" encoding="utf-8"?>
<sst xmlns="http://schemas.openxmlformats.org/spreadsheetml/2006/main" count="225" uniqueCount="159">
  <si>
    <t>r</t>
  </si>
  <si>
    <t>g</t>
  </si>
  <si>
    <t>b</t>
  </si>
  <si>
    <t>p (%)</t>
  </si>
  <si>
    <t>t</t>
  </si>
  <si>
    <t>P</t>
  </si>
  <si>
    <t>p&lt;0</t>
  </si>
  <si>
    <t>#FF0000</t>
  </si>
  <si>
    <t>#E60000</t>
  </si>
  <si>
    <t>#7A0000</t>
  </si>
  <si>
    <t>#BA0000</t>
  </si>
  <si>
    <t>#A70000</t>
  </si>
  <si>
    <t>#6E0000</t>
  </si>
  <si>
    <t>#630000</t>
  </si>
  <si>
    <t>#960000</t>
  </si>
  <si>
    <t>#870000</t>
  </si>
  <si>
    <t>#CF0000</t>
  </si>
  <si>
    <t>linear shading</t>
  </si>
  <si>
    <t>log shading</t>
  </si>
  <si>
    <t>#780000</t>
  </si>
  <si>
    <t>#0000FF</t>
  </si>
  <si>
    <t>#FBDFD3</t>
  </si>
  <si>
    <t>#F48000</t>
  </si>
  <si>
    <t>#FACEBA</t>
  </si>
  <si>
    <t>#F59251</t>
  </si>
  <si>
    <t>#F6A06F</t>
  </si>
  <si>
    <t>#F7AC85</t>
  </si>
  <si>
    <t>#F8B696</t>
  </si>
  <si>
    <t>#F9BFA4</t>
  </si>
  <si>
    <t>#FAC6AF</t>
  </si>
  <si>
    <t>#FBCCB9</t>
  </si>
  <si>
    <t>#FBD2C1</t>
  </si>
  <si>
    <t>#FBD7C8</t>
  </si>
  <si>
    <t>#FBDBCE</t>
  </si>
  <si>
    <t>#FBE2D8</t>
  </si>
  <si>
    <t>#FBE5DC</t>
  </si>
  <si>
    <t>#FBEAE3</t>
  </si>
  <si>
    <t>#FBE8E0</t>
  </si>
  <si>
    <t>Color adjust lighter (Linear)</t>
  </si>
  <si>
    <t>Color adjust darker (Linear)</t>
  </si>
  <si>
    <t>base color</t>
  </si>
  <si>
    <t>#DB0000</t>
  </si>
  <si>
    <t>#BC0000</t>
  </si>
  <si>
    <t>#A20000</t>
  </si>
  <si>
    <t>#8B0000</t>
  </si>
  <si>
    <t>#FF7373</t>
  </si>
  <si>
    <t>#FFB2B2</t>
  </si>
  <si>
    <t>#FFD5D5</t>
  </si>
  <si>
    <t>#FFE8E8</t>
  </si>
  <si>
    <t>#FFF2F2</t>
  </si>
  <si>
    <t>#FFF8F8</t>
  </si>
  <si>
    <t>#670000</t>
  </si>
  <si>
    <t>#7373FF</t>
  </si>
  <si>
    <t>#0000DB</t>
  </si>
  <si>
    <t>#B2B2FF</t>
  </si>
  <si>
    <t>#0000BC</t>
  </si>
  <si>
    <t>#0000A2</t>
  </si>
  <si>
    <t>#D5D5FF</t>
  </si>
  <si>
    <t>#00008B</t>
  </si>
  <si>
    <t>#000067</t>
  </si>
  <si>
    <t>#E8E8FF</t>
  </si>
  <si>
    <t>#000078</t>
  </si>
  <si>
    <t>#F8F8FF</t>
  </si>
  <si>
    <t>#F2F2FF</t>
  </si>
  <si>
    <t>Lighter</t>
  </si>
  <si>
    <t>Darker</t>
  </si>
  <si>
    <t>#0277BD</t>
  </si>
  <si>
    <t>#D9E2EF</t>
  </si>
  <si>
    <t>#86A8D1</t>
  </si>
  <si>
    <t>#6394C8</t>
  </si>
  <si>
    <t>#B0C4DF</t>
  </si>
  <si>
    <t>#9EB8D9</t>
  </si>
  <si>
    <t>#BECEE4</t>
  </si>
  <si>
    <t>#C9D6E8</t>
  </si>
  <si>
    <t>#D2DDEC</t>
  </si>
  <si>
    <t>#DFE7F1</t>
  </si>
  <si>
    <t>#E8EEF5</t>
  </si>
  <si>
    <t>#E4EBF3</t>
  </si>
  <si>
    <t>#EFF3F8</t>
  </si>
  <si>
    <t>#ECF1F7</t>
  </si>
  <si>
    <t>#F1F5F9</t>
  </si>
  <si>
    <t>#F3F7FA</t>
  </si>
  <si>
    <t>#01579B</t>
  </si>
  <si>
    <t>#4181B4</t>
  </si>
  <si>
    <t>#71A1C7</t>
  </si>
  <si>
    <t>#B0CBE0</t>
  </si>
  <si>
    <t>#95B9D5</t>
  </si>
  <si>
    <t>#C4D8E8</t>
  </si>
  <si>
    <t>#D3E2EE</t>
  </si>
  <si>
    <t>#DEE9F2</t>
  </si>
  <si>
    <t>#E6EFF5</t>
  </si>
  <si>
    <t>#ECF3F8</t>
  </si>
  <si>
    <t>cumlative</t>
  </si>
  <si>
    <t>#FFFFFF</t>
  </si>
  <si>
    <t>#016EF0</t>
  </si>
  <si>
    <t>#F2F8FE</t>
  </si>
  <si>
    <t>#1A7DF2</t>
  </si>
  <si>
    <t>#348BF3</t>
  </si>
  <si>
    <t>#67A8F6</t>
  </si>
  <si>
    <t>#4D9AF5</t>
  </si>
  <si>
    <t>#80B7F8</t>
  </si>
  <si>
    <t>#99C5F9</t>
  </si>
  <si>
    <t>#E6F1FE</t>
  </si>
  <si>
    <t>#CCE2FC</t>
  </si>
  <si>
    <t>#B3D4FB</t>
  </si>
  <si>
    <t>progression</t>
  </si>
  <si>
    <t>defined</t>
  </si>
  <si>
    <t>values</t>
  </si>
  <si>
    <t>#F58E48</t>
  </si>
  <si>
    <t>#F6A374</t>
  </si>
  <si>
    <t>#F8B99A</t>
  </si>
  <si>
    <t>#FDECE5</t>
  </si>
  <si>
    <t>#FCDFD3</t>
  </si>
  <si>
    <t>#FEF5F1</t>
  </si>
  <si>
    <t>#FFFAF8</t>
  </si>
  <si>
    <t>#FFFDFC</t>
  </si>
  <si>
    <t>#FFFEFE</t>
  </si>
  <si>
    <t>lighter side</t>
  </si>
  <si>
    <t>darker side</t>
  </si>
  <si>
    <t>#7C7C7C</t>
  </si>
  <si>
    <t>#F5F5F5</t>
  </si>
  <si>
    <t>#BDBDBD</t>
  </si>
  <si>
    <t>#F1F1F1</t>
  </si>
  <si>
    <t>#C9C9C9</t>
  </si>
  <si>
    <t>#E5E5E5</t>
  </si>
  <si>
    <t>#A1A1A1</t>
  </si>
  <si>
    <t>#DDDDDD</t>
  </si>
  <si>
    <t>#ECECEC</t>
  </si>
  <si>
    <t>#AFAFAF</t>
  </si>
  <si>
    <t>#747474</t>
  </si>
  <si>
    <t>#868686</t>
  </si>
  <si>
    <t>#939393</t>
  </si>
  <si>
    <t>#D4D4D4</t>
  </si>
  <si>
    <t>ff</t>
  </si>
  <si>
    <t>7f</t>
  </si>
  <si>
    <t>convert hex to decimal</t>
  </si>
  <si>
    <t>final - typical range</t>
  </si>
  <si>
    <t>final - extended range</t>
  </si>
  <si>
    <t>#242424</t>
  </si>
  <si>
    <t>#6B6B6B</t>
  </si>
  <si>
    <t>#616161</t>
  </si>
  <si>
    <t>#565656</t>
  </si>
  <si>
    <t>#4B4B4B</t>
  </si>
  <si>
    <t>#363636</t>
  </si>
  <si>
    <t>#404040</t>
  </si>
  <si>
    <t>#1C1C1C</t>
  </si>
  <si>
    <t>#2D2D2D</t>
  </si>
  <si>
    <t>#161616</t>
  </si>
  <si>
    <t>#111111</t>
  </si>
  <si>
    <t>#5555FF</t>
  </si>
  <si>
    <t>#1F1FFF</t>
  </si>
  <si>
    <t>#9292FF</t>
  </si>
  <si>
    <t>#C6C6FF</t>
  </si>
  <si>
    <t>#0000EB</t>
  </si>
  <si>
    <t>#F9F9FF</t>
  </si>
  <si>
    <t>#0000CF</t>
  </si>
  <si>
    <t>#0000AE</t>
  </si>
  <si>
    <t>#00004C</t>
  </si>
  <si>
    <t>#00006A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</si>
</sst>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#"/>
    <numFmt numFmtId="166" formatCode="000"/>
  </numFmts>
  <fonts count="3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0" tint="-0.34998626667073579"/>
      <name val="Calibri"/>
      <family val="2"/>
      <scheme val="minor"/>
    </font>
  </fonts>
  <fills count="13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277BD"/>
        <bgColor indexed="64"/>
      </patternFill>
    </fill>
    <fill>
      <patternFill patternType="solid">
        <fgColor rgb="FF01579B"/>
        <bgColor indexed="64"/>
      </patternFill>
    </fill>
    <fill>
      <patternFill patternType="solid">
        <fgColor rgb="FFE60000"/>
        <bgColor indexed="64"/>
      </patternFill>
    </fill>
    <fill>
      <patternFill patternType="solid">
        <fgColor rgb="FF7A0000"/>
        <bgColor indexed="64"/>
      </patternFill>
    </fill>
    <fill>
      <patternFill patternType="solid">
        <fgColor rgb="FFBA0000"/>
        <bgColor indexed="64"/>
      </patternFill>
    </fill>
    <fill>
      <patternFill patternType="solid">
        <fgColor rgb="FFA70000"/>
        <bgColor indexed="64"/>
      </patternFill>
    </fill>
    <fill>
      <patternFill patternType="solid">
        <fgColor rgb="FF6E0000"/>
        <bgColor indexed="64"/>
      </patternFill>
    </fill>
    <fill>
      <patternFill patternType="solid">
        <fgColor rgb="FF630000"/>
        <bgColor indexed="64"/>
      </patternFill>
    </fill>
    <fill>
      <patternFill patternType="solid">
        <fgColor rgb="FF960000"/>
        <bgColor indexed="64"/>
      </patternFill>
    </fill>
    <fill>
      <patternFill patternType="solid">
        <fgColor rgb="FF870000"/>
        <bgColor indexed="64"/>
      </patternFill>
    </fill>
    <fill>
      <patternFill patternType="solid">
        <fgColor rgb="FFCF0000"/>
        <bgColor indexed="64"/>
      </patternFill>
    </fill>
    <fill>
      <patternFill patternType="solid">
        <fgColor rgb="FF780000"/>
        <bgColor indexed="64"/>
      </patternFill>
    </fill>
    <fill>
      <patternFill patternType="solid">
        <fgColor rgb="FFFBDFD3"/>
        <bgColor indexed="64"/>
      </patternFill>
    </fill>
    <fill>
      <patternFill patternType="solid">
        <fgColor rgb="FFF48000"/>
        <bgColor indexed="64"/>
      </patternFill>
    </fill>
    <fill>
      <patternFill patternType="solid">
        <fgColor rgb="FFFACEBA"/>
        <bgColor indexed="64"/>
      </patternFill>
    </fill>
    <fill>
      <patternFill patternType="solid">
        <fgColor rgb="FFF59251"/>
        <bgColor indexed="64"/>
      </patternFill>
    </fill>
    <fill>
      <patternFill patternType="solid">
        <fgColor rgb="FFF6A06F"/>
        <bgColor indexed="64"/>
      </patternFill>
    </fill>
    <fill>
      <patternFill patternType="solid">
        <fgColor rgb="FFF7AC85"/>
        <bgColor indexed="64"/>
      </patternFill>
    </fill>
    <fill>
      <patternFill patternType="solid">
        <fgColor rgb="FFF8B696"/>
        <bgColor indexed="64"/>
      </patternFill>
    </fill>
    <fill>
      <patternFill patternType="solid">
        <fgColor rgb="FFF9BFA4"/>
        <bgColor indexed="64"/>
      </patternFill>
    </fill>
    <fill>
      <patternFill patternType="solid">
        <fgColor rgb="FFFAC6AF"/>
        <bgColor indexed="64"/>
      </patternFill>
    </fill>
    <fill>
      <patternFill patternType="solid">
        <fgColor rgb="FFFBCCB9"/>
        <bgColor indexed="64"/>
      </patternFill>
    </fill>
    <fill>
      <patternFill patternType="solid">
        <fgColor rgb="FFFBD2C1"/>
        <bgColor indexed="64"/>
      </patternFill>
    </fill>
    <fill>
      <patternFill patternType="solid">
        <fgColor rgb="FFFBD7C8"/>
        <bgColor indexed="64"/>
      </patternFill>
    </fill>
    <fill>
      <patternFill patternType="solid">
        <fgColor rgb="FFFBDBCE"/>
        <bgColor indexed="64"/>
      </patternFill>
    </fill>
    <fill>
      <patternFill patternType="solid">
        <fgColor rgb="FFFBE2D8"/>
        <bgColor indexed="64"/>
      </patternFill>
    </fill>
    <fill>
      <patternFill patternType="solid">
        <fgColor rgb="FFFBE5DC"/>
        <bgColor indexed="64"/>
      </patternFill>
    </fill>
    <fill>
      <patternFill patternType="solid">
        <fgColor rgb="FFFBEAE3"/>
        <bgColor indexed="64"/>
      </patternFill>
    </fill>
    <fill>
      <patternFill patternType="solid">
        <fgColor rgb="FFFBE8E0"/>
        <bgColor indexed="64"/>
      </patternFill>
    </fill>
    <fill>
      <patternFill patternType="solid">
        <fgColor rgb="FFDB0000"/>
        <bgColor indexed="64"/>
      </patternFill>
    </fill>
    <fill>
      <patternFill patternType="solid">
        <fgColor rgb="FFBC0000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FF7373"/>
        <bgColor indexed="64"/>
      </patternFill>
    </fill>
    <fill>
      <patternFill patternType="solid">
        <fgColor rgb="FFFFB2B2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E8E8"/>
        <bgColor indexed="64"/>
      </patternFill>
    </fill>
    <fill>
      <patternFill patternType="solid">
        <fgColor rgb="FFFFF2F2"/>
        <bgColor indexed="64"/>
      </patternFill>
    </fill>
    <fill>
      <patternFill patternType="solid">
        <fgColor rgb="FFFFF8F8"/>
        <bgColor indexed="64"/>
      </patternFill>
    </fill>
    <fill>
      <patternFill patternType="solid">
        <fgColor rgb="FF670000"/>
        <bgColor indexed="64"/>
      </patternFill>
    </fill>
    <fill>
      <patternFill patternType="solid">
        <fgColor rgb="FF7373FF"/>
        <bgColor indexed="64"/>
      </patternFill>
    </fill>
    <fill>
      <patternFill patternType="solid">
        <fgColor rgb="FF0000DB"/>
        <bgColor indexed="64"/>
      </patternFill>
    </fill>
    <fill>
      <patternFill patternType="solid">
        <fgColor rgb="FFB2B2FF"/>
        <bgColor indexed="64"/>
      </patternFill>
    </fill>
    <fill>
      <patternFill patternType="solid">
        <fgColor rgb="FF0000BC"/>
        <bgColor indexed="64"/>
      </patternFill>
    </fill>
    <fill>
      <patternFill patternType="solid">
        <fgColor rgb="FF0000A2"/>
        <bgColor indexed="64"/>
      </patternFill>
    </fill>
    <fill>
      <patternFill patternType="solid">
        <fgColor rgb="FFD5D5FF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0067"/>
        <bgColor indexed="64"/>
      </patternFill>
    </fill>
    <fill>
      <patternFill patternType="solid">
        <fgColor rgb="FFE8E8FF"/>
        <bgColor indexed="64"/>
      </patternFill>
    </fill>
    <fill>
      <patternFill patternType="solid">
        <fgColor rgb="FF000078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2F2FF"/>
        <bgColor indexed="64"/>
      </patternFill>
    </fill>
    <fill>
      <patternFill patternType="solid">
        <fgColor rgb="FFD9E2EF"/>
        <bgColor indexed="64"/>
      </patternFill>
    </fill>
    <fill>
      <patternFill patternType="solid">
        <fgColor rgb="FF86A8D1"/>
        <bgColor indexed="64"/>
      </patternFill>
    </fill>
    <fill>
      <patternFill patternType="solid">
        <fgColor rgb="FF6394C8"/>
        <bgColor indexed="64"/>
      </patternFill>
    </fill>
    <fill>
      <patternFill patternType="solid">
        <fgColor rgb="FFB0C4DF"/>
        <bgColor indexed="64"/>
      </patternFill>
    </fill>
    <fill>
      <patternFill patternType="solid">
        <fgColor rgb="FF9EB8D9"/>
        <bgColor indexed="64"/>
      </patternFill>
    </fill>
    <fill>
      <patternFill patternType="solid">
        <fgColor rgb="FFBECEE4"/>
        <bgColor indexed="64"/>
      </patternFill>
    </fill>
    <fill>
      <patternFill patternType="solid">
        <fgColor rgb="FFC9D6E8"/>
        <bgColor indexed="64"/>
      </patternFill>
    </fill>
    <fill>
      <patternFill patternType="solid">
        <fgColor rgb="FFD2DDEC"/>
        <bgColor indexed="64"/>
      </patternFill>
    </fill>
    <fill>
      <patternFill patternType="solid">
        <fgColor rgb="FFDFE7F1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E4EBF3"/>
        <bgColor indexed="64"/>
      </patternFill>
    </fill>
    <fill>
      <patternFill patternType="solid">
        <fgColor rgb="FFEFF3F8"/>
        <bgColor indexed="64"/>
      </patternFill>
    </fill>
    <fill>
      <patternFill patternType="solid">
        <fgColor rgb="FFECF1F7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F3F7FA"/>
        <bgColor indexed="64"/>
      </patternFill>
    </fill>
    <fill>
      <patternFill patternType="solid">
        <fgColor rgb="FF4181B4"/>
        <bgColor indexed="64"/>
      </patternFill>
    </fill>
    <fill>
      <patternFill patternType="solid">
        <fgColor rgb="FF71A1C7"/>
        <bgColor indexed="64"/>
      </patternFill>
    </fill>
    <fill>
      <patternFill patternType="solid">
        <fgColor rgb="FFB0CBE0"/>
        <bgColor indexed="64"/>
      </patternFill>
    </fill>
    <fill>
      <patternFill patternType="solid">
        <fgColor rgb="FF95B9D5"/>
        <bgColor indexed="64"/>
      </patternFill>
    </fill>
    <fill>
      <patternFill patternType="solid">
        <fgColor rgb="FFC4D8E8"/>
        <bgColor indexed="64"/>
      </patternFill>
    </fill>
    <fill>
      <patternFill patternType="solid">
        <fgColor rgb="FFD3E2EE"/>
        <bgColor indexed="64"/>
      </patternFill>
    </fill>
    <fill>
      <patternFill patternType="solid">
        <fgColor rgb="FFDEE9F2"/>
        <bgColor indexed="64"/>
      </patternFill>
    </fill>
    <fill>
      <patternFill patternType="solid">
        <fgColor rgb="FFE6EFF5"/>
        <bgColor indexed="64"/>
      </patternFill>
    </fill>
    <fill>
      <patternFill patternType="solid">
        <fgColor rgb="FFECF3F8"/>
        <bgColor indexed="64"/>
      </patternFill>
    </fill>
    <fill>
      <patternFill patternType="solid">
        <fgColor rgb="FF016EF0"/>
        <bgColor indexed="64"/>
      </patternFill>
    </fill>
    <fill>
      <patternFill patternType="solid">
        <fgColor rgb="FFF2F8FE"/>
        <bgColor indexed="64"/>
      </patternFill>
    </fill>
    <fill>
      <patternFill patternType="solid">
        <fgColor rgb="FF1A7DF2"/>
        <bgColor indexed="64"/>
      </patternFill>
    </fill>
    <fill>
      <patternFill patternType="solid">
        <fgColor rgb="FF348BF3"/>
        <bgColor indexed="64"/>
      </patternFill>
    </fill>
    <fill>
      <patternFill patternType="solid">
        <fgColor rgb="FF67A8F6"/>
        <bgColor indexed="64"/>
      </patternFill>
    </fill>
    <fill>
      <patternFill patternType="solid">
        <fgColor rgb="FF4D9AF5"/>
        <bgColor indexed="64"/>
      </patternFill>
    </fill>
    <fill>
      <patternFill patternType="solid">
        <fgColor rgb="FF80B7F8"/>
        <bgColor indexed="64"/>
      </patternFill>
    </fill>
    <fill>
      <patternFill patternType="solid">
        <fgColor rgb="FF99C5F9"/>
        <bgColor indexed="64"/>
      </patternFill>
    </fill>
    <fill>
      <patternFill patternType="solid">
        <fgColor rgb="FFE6F1FE"/>
        <bgColor indexed="64"/>
      </patternFill>
    </fill>
    <fill>
      <patternFill patternType="solid">
        <fgColor rgb="FFCCE2FC"/>
        <bgColor indexed="64"/>
      </patternFill>
    </fill>
    <fill>
      <patternFill patternType="solid">
        <fgColor rgb="FFB3D4FB"/>
        <bgColor indexed="64"/>
      </patternFill>
    </fill>
    <fill>
      <patternFill patternType="solid">
        <fgColor rgb="FFF58E48"/>
        <bgColor indexed="64"/>
      </patternFill>
    </fill>
    <fill>
      <patternFill patternType="solid">
        <fgColor rgb="FFF6A374"/>
        <bgColor indexed="64"/>
      </patternFill>
    </fill>
    <fill>
      <patternFill patternType="solid">
        <fgColor rgb="FFF8B99A"/>
        <bgColor indexed="64"/>
      </patternFill>
    </fill>
    <fill>
      <patternFill patternType="solid">
        <fgColor rgb="FFFDECE5"/>
        <bgColor indexed="64"/>
      </patternFill>
    </fill>
    <fill>
      <patternFill patternType="solid">
        <fgColor rgb="FFFCDFD3"/>
        <bgColor indexed="64"/>
      </patternFill>
    </fill>
    <fill>
      <patternFill patternType="solid">
        <fgColor rgb="FFFEF5F1"/>
        <bgColor indexed="64"/>
      </patternFill>
    </fill>
    <fill>
      <patternFill patternType="solid">
        <fgColor rgb="FFFFFAF8"/>
        <bgColor indexed="64"/>
      </patternFill>
    </fill>
    <fill>
      <patternFill patternType="solid">
        <fgColor rgb="FFFFFDFC"/>
        <bgColor indexed="64"/>
      </patternFill>
    </fill>
    <fill>
      <patternFill patternType="solid">
        <fgColor rgb="FFFFFEFE"/>
        <bgColor indexed="64"/>
      </patternFill>
    </fill>
    <fill>
      <patternFill patternType="solid">
        <fgColor rgb="FF7C7C7C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AFAFAF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5555FF"/>
        <bgColor indexed="64"/>
      </patternFill>
    </fill>
    <fill>
      <patternFill patternType="solid">
        <fgColor rgb="FF1F1FFF"/>
        <bgColor indexed="64"/>
      </patternFill>
    </fill>
    <fill>
      <patternFill patternType="solid">
        <fgColor rgb="FF9292FF"/>
        <bgColor indexed="64"/>
      </patternFill>
    </fill>
    <fill>
      <patternFill patternType="solid">
        <fgColor rgb="FFC6C6FF"/>
        <bgColor indexed="64"/>
      </patternFill>
    </fill>
    <fill>
      <patternFill patternType="solid">
        <fgColor rgb="FF0000EB"/>
        <bgColor indexed="64"/>
      </patternFill>
    </fill>
    <fill>
      <patternFill patternType="solid">
        <fgColor rgb="FFF9F9FF"/>
        <bgColor indexed="64"/>
      </patternFill>
    </fill>
    <fill>
      <patternFill patternType="solid">
        <fgColor rgb="FF0000CF"/>
        <bgColor indexed="64"/>
      </patternFill>
    </fill>
    <fill>
      <patternFill patternType="solid">
        <fgColor rgb="FF0000AE"/>
        <bgColor indexed="64"/>
      </patternFill>
    </fill>
    <fill>
      <patternFill patternType="solid">
        <fgColor rgb="FF00004C"/>
        <bgColor indexed="64"/>
      </patternFill>
    </fill>
    <fill>
      <patternFill patternType="solid">
        <fgColor rgb="FF00006A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63">
    <xf numFmtId="0" fontId="0" fillId="0" borderId="0" xfId="0"/>
    <xf numFmtId="164" fontId="0" fillId="0" borderId="0" xfId="0" applyNumberFormat="1"/>
    <xf numFmtId="0" fontId="0" fillId="2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0" borderId="0" xfId="0" applyAlignment="1">
      <alignment horizontal="left" vertical="top"/>
    </xf>
    <xf numFmtId="2" fontId="0" fillId="0" borderId="0" xfId="0" applyNumberFormat="1"/>
    <xf numFmtId="0" fontId="1" fillId="0" borderId="0" xfId="0" applyFont="1"/>
    <xf numFmtId="0" fontId="2" fillId="0" borderId="0" xfId="0" applyFon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165" fontId="0" fillId="0" borderId="0" xfId="0" applyNumberFormat="1" applyAlignment="1">
      <alignment horizontal="center"/>
    </xf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1" fillId="0" borderId="0" xfId="0" applyFont="1" applyAlignment="1">
      <alignment horizontal="center" vertical="top"/>
    </xf>
    <xf numFmtId="2" fontId="1" fillId="0" borderId="0" xfId="0" applyNumberFormat="1" applyFont="1"/>
    <xf numFmtId="0" fontId="1" fillId="0" borderId="0" xfId="0" quotePrefix="1" applyFont="1" applyAlignment="1">
      <alignment horizontal="center" vertical="top"/>
    </xf>
    <xf numFmtId="0" fontId="0" fillId="5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6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3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0" borderId="1" xfId="0" applyBorder="1" applyAlignment="1">
      <alignment horizontal="center" vertical="top"/>
    </xf>
    <xf numFmtId="0" fontId="0" fillId="4" borderId="1" xfId="0" applyFill="1" applyBorder="1"/>
    <xf numFmtId="0" fontId="0" fillId="0" borderId="1" xfId="0" applyBorder="1"/>
    <xf numFmtId="165" fontId="0" fillId="0" borderId="1" xfId="0" applyNumberFormat="1" applyBorder="1" applyAlignment="1">
      <alignment horizontal="center"/>
    </xf>
    <xf numFmtId="0" fontId="2" fillId="0" borderId="1" xfId="0" applyFont="1" applyBorder="1"/>
    <xf numFmtId="0" fontId="0" fillId="2" borderId="1" xfId="0" applyFill="1" applyBorder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2" fontId="1" fillId="0" borderId="0" xfId="0" applyNumberFormat="1" applyFont="1"/>
    <xf numFmtId="0" fontId="0" fillId="0" borderId="0" xfId="0" applyBorder="1"/>
    <xf numFmtId="165" fontId="0" fillId="0" borderId="0" xfId="0" applyNumberFormat="1" applyBorder="1" applyAlignment="1">
      <alignment horizontal="center"/>
    </xf>
    <xf numFmtId="1" fontId="1" fillId="0" borderId="0" xfId="0" applyNumberFormat="1" applyFont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2" fontId="1" fillId="0" borderId="0" xfId="0" applyNumberFormat="1" applyFont="1"/>
    <xf numFmtId="0" fontId="0" fillId="115" borderId="0" xfId="0" applyFill="1"/>
    <xf numFmtId="0" fontId="0" fillId="116" borderId="0" xfId="0" applyFill="1"/>
    <xf numFmtId="0" fontId="0" fillId="117" borderId="0" xfId="0" applyFill="1"/>
    <xf numFmtId="166" fontId="0" fillId="0" borderId="0" xfId="0" applyNumberFormat="1" applyAlignment="1">
      <alignment horizontal="center" vertical="top"/>
    </xf>
    <xf numFmtId="166" fontId="0" fillId="0" borderId="1" xfId="0" applyNumberFormat="1" applyBorder="1" applyAlignment="1">
      <alignment horizontal="center" vertical="top"/>
    </xf>
    <xf numFmtId="166" fontId="0" fillId="0" borderId="0" xfId="0" applyNumberFormat="1" applyFill="1" applyBorder="1" applyAlignment="1">
      <alignment horizontal="center" vertical="top"/>
    </xf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164" fontId="0" fillId="0" borderId="0" xfId="0" applyNumberFormat="1"/>
    <xf numFmtId="2" fontId="1" fillId="0" borderId="0" xfId="0" applyNumberFormat="1" applyFont="1"/>
    <xf numFmtId="0" fontId="0" fillId="4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EFEF8-7692-4BCD-B49A-95662F06BE39}">
  <dimension ref="A2:AW128"/>
  <sheetViews>
    <sheetView tabSelected="1" zoomScale="146" zoomScaleNormal="146" workbookViewId="0">
      <selection activeCell="E11" sqref="E11:G23"/>
    </sheetView>
  </sheetViews>
  <sheetFormatPr defaultRowHeight="14.4" x14ac:dyDescent="0.3"/>
  <cols>
    <col min="1" max="1" width="10.33203125" customWidth="1"/>
    <col min="2" max="2" width="6.5546875" style="14" customWidth="1"/>
    <col min="3" max="3" width="9.5546875" customWidth="1"/>
    <col min="4" max="4" width="9.33203125" customWidth="1"/>
    <col min="5" max="5" width="4" style="13" customWidth="1"/>
    <col min="6" max="6" width="4" customWidth="1"/>
    <col min="7" max="7" width="4" style="13" customWidth="1"/>
    <col min="8" max="8" width="4" customWidth="1"/>
    <col min="9" max="9" width="4" style="13" customWidth="1"/>
    <col min="10" max="11" width="4" customWidth="1"/>
    <col min="13" max="13" width="6.5546875" customWidth="1"/>
    <col min="14" max="14" width="9.5546875" customWidth="1"/>
    <col min="15" max="15" width="9.33203125" customWidth="1"/>
    <col min="16" max="22" width="4" customWidth="1"/>
    <col min="24" max="24" width="6.5546875" customWidth="1"/>
    <col min="25" max="25" width="9.5546875" customWidth="1"/>
    <col min="26" max="26" width="9.33203125" customWidth="1"/>
    <col min="27" max="29" width="4" customWidth="1"/>
    <col min="30" max="30" width="1.44140625" customWidth="1"/>
    <col min="31" max="34" width="4" customWidth="1"/>
    <col min="35" max="38" width="7.5546875" customWidth="1"/>
    <col min="39" max="39" width="7.44140625" customWidth="1"/>
    <col min="41" max="41" width="6.5546875" customWidth="1"/>
    <col min="42" max="42" width="9.5546875" customWidth="1"/>
    <col min="43" max="43" width="9.33203125" customWidth="1"/>
    <col min="44" max="46" width="4" customWidth="1"/>
    <col min="47" max="47" width="1.44140625" customWidth="1"/>
    <col min="48" max="51" width="4" customWidth="1"/>
    <col min="52" max="55" width="7.5546875" customWidth="1"/>
  </cols>
  <sheetData>
    <row r="2" spans="2:49" x14ac:dyDescent="0.3">
      <c r="E2" s="33" t="s">
        <v>135</v>
      </c>
      <c r="Y2" t="s">
        <v>137</v>
      </c>
      <c r="AE2" s="117">
        <v>1</v>
      </c>
      <c r="AG2" s="135">
        <v>1</v>
      </c>
    </row>
    <row r="3" spans="2:49" x14ac:dyDescent="0.3">
      <c r="E3" s="13" t="s">
        <v>0</v>
      </c>
      <c r="F3" s="13" t="s">
        <v>1</v>
      </c>
      <c r="G3" s="13" t="s">
        <v>2</v>
      </c>
      <c r="I3" s="13" t="s">
        <v>0</v>
      </c>
      <c r="J3" s="13" t="s">
        <v>1</v>
      </c>
      <c r="K3" s="13" t="s">
        <v>2</v>
      </c>
      <c r="AA3" s="13" t="s">
        <v>0</v>
      </c>
      <c r="AB3" s="13" t="s">
        <v>1</v>
      </c>
      <c r="AC3" s="13" t="s">
        <v>2</v>
      </c>
      <c r="AE3" s="13" t="s">
        <v>0</v>
      </c>
      <c r="AF3" s="13" t="s">
        <v>1</v>
      </c>
      <c r="AG3" s="13" t="s">
        <v>2</v>
      </c>
      <c r="AI3" t="s">
        <v>3</v>
      </c>
      <c r="AJ3" t="s">
        <v>6</v>
      </c>
      <c r="AK3" t="s">
        <v>4</v>
      </c>
      <c r="AL3" t="s">
        <v>5</v>
      </c>
      <c r="AQ3" s="117"/>
      <c r="AR3" s="117"/>
      <c r="AS3" s="117"/>
      <c r="AT3" s="117"/>
      <c r="AW3" s="117"/>
    </row>
    <row r="4" spans="2:49" x14ac:dyDescent="0.3">
      <c r="B4"/>
      <c r="E4" t="s">
        <v>133</v>
      </c>
      <c r="F4" t="s">
        <v>134</v>
      </c>
      <c r="G4">
        <v>0</v>
      </c>
      <c r="I4">
        <f>HEX2DEC(E4)</f>
        <v>255</v>
      </c>
      <c r="J4">
        <f>HEX2DEC(F4)</f>
        <v>127</v>
      </c>
      <c r="K4">
        <f>HEX2DEC(G4)</f>
        <v>0</v>
      </c>
      <c r="W4" s="120">
        <v>1</v>
      </c>
      <c r="X4" s="139">
        <v>970</v>
      </c>
      <c r="Y4" s="122" t="str">
        <f>SetIt(Y4, AA4, AB4, AC4, "#" &amp; _xlfn.CONCAT(AA4,AB4,AC4))</f>
        <v/>
      </c>
      <c r="Z4" s="118" t="s">
        <v>120</v>
      </c>
      <c r="AA4" s="119" t="str">
        <f>IF(AE4&lt;16,"0","")&amp;DEC2HEX(AE4)</f>
        <v>F5</v>
      </c>
      <c r="AB4" s="119" t="str">
        <f>IF(AF4&lt;16,"0","")&amp;DEC2HEX(AF4)</f>
        <v>F5</v>
      </c>
      <c r="AC4" s="119" t="str">
        <f>IF(AG4&lt;16,"0","")&amp;DEC2HEX(AG4)</f>
        <v>F5</v>
      </c>
      <c r="AE4" s="36">
        <f t="shared" ref="AE4:AE15" si="0">ROUND(AE5*(AL4*AE$2)+AK4,0)</f>
        <v>245</v>
      </c>
      <c r="AF4" s="36">
        <f t="shared" ref="AF4:AF15" si="1">ROUND(AF5*AL4+AK4,0)</f>
        <v>245</v>
      </c>
      <c r="AG4" s="36">
        <f t="shared" ref="AG4:AG15" si="2">MIN(ROUND(AG5*(AL4*AG$2)+AK4,0), 255)</f>
        <v>245</v>
      </c>
      <c r="AI4" s="117">
        <f t="shared" ref="AI4:AI15" si="3">(X4-500)/100 * (AI$17*AJ$17)+AI$17</f>
        <v>0.28765000000000002</v>
      </c>
      <c r="AJ4" s="117" t="b">
        <f>(AI4&lt;0)</f>
        <v>0</v>
      </c>
      <c r="AK4" s="117">
        <f>IF(AJ4,0,255*AI4)</f>
        <v>73.350750000000005</v>
      </c>
      <c r="AL4" s="117">
        <f>IF(AJ4,1+AI4,1-AI4)</f>
        <v>0.71235000000000004</v>
      </c>
      <c r="AM4">
        <f t="shared" ref="AM4:AM15" si="4">(X4-500)/100 * (AI$17*AJ$17)+AI$17</f>
        <v>0.28765000000000002</v>
      </c>
      <c r="AQ4" s="135"/>
      <c r="AR4" s="135"/>
      <c r="AS4" s="135"/>
      <c r="AT4" s="135"/>
      <c r="AU4" s="135"/>
      <c r="AW4" s="135"/>
    </row>
    <row r="5" spans="2:49" x14ac:dyDescent="0.3">
      <c r="B5"/>
      <c r="E5"/>
      <c r="G5"/>
      <c r="I5"/>
      <c r="W5" s="120">
        <v>2</v>
      </c>
      <c r="X5" s="139">
        <v>950</v>
      </c>
      <c r="Y5" s="124" t="str">
        <f t="shared" ref="Y5:Y10" si="5">SetIt(Y5, AA5, AB5, AC5, "#" &amp; _xlfn.CONCAT(AA5,AB5,AC5))</f>
        <v/>
      </c>
      <c r="Z5" s="118" t="s">
        <v>122</v>
      </c>
      <c r="AA5" s="119" t="str">
        <f t="shared" ref="AA5:AA10" si="6">IF(AE5&lt;16,"0","")&amp;DEC2HEX(AE5)</f>
        <v>F1</v>
      </c>
      <c r="AB5" s="119" t="str">
        <f t="shared" ref="AB5:AB10" si="7">IF(AF5&lt;16,"0","")&amp;DEC2HEX(AF5)</f>
        <v>F1</v>
      </c>
      <c r="AC5" s="119" t="str">
        <f t="shared" ref="AC5:AC10" si="8">IF(AG5&lt;16,"0","")&amp;DEC2HEX(AG5)</f>
        <v>F1</v>
      </c>
      <c r="AE5" s="36">
        <f t="shared" si="0"/>
        <v>241</v>
      </c>
      <c r="AF5" s="36">
        <f t="shared" si="1"/>
        <v>241</v>
      </c>
      <c r="AG5" s="36">
        <f t="shared" si="2"/>
        <v>241</v>
      </c>
      <c r="AI5" s="117">
        <f t="shared" si="3"/>
        <v>0.27775</v>
      </c>
      <c r="AJ5" s="117" t="b">
        <f t="shared" ref="AJ5:AJ10" si="9">(AI5&lt;0)</f>
        <v>0</v>
      </c>
      <c r="AK5" s="117">
        <f t="shared" ref="AK5:AK10" si="10">IF(AJ5,0,255*AI5)</f>
        <v>70.826250000000002</v>
      </c>
      <c r="AL5" s="117">
        <f t="shared" ref="AL5:AL10" si="11">IF(AJ5,1+AI5,1-AI5)</f>
        <v>0.72225000000000006</v>
      </c>
      <c r="AM5">
        <f t="shared" si="4"/>
        <v>0.27775</v>
      </c>
      <c r="AQ5" s="135"/>
      <c r="AR5" s="135"/>
      <c r="AS5" s="135"/>
      <c r="AT5" s="135"/>
      <c r="AU5" s="135"/>
      <c r="AW5" s="135"/>
    </row>
    <row r="6" spans="2:49" x14ac:dyDescent="0.3">
      <c r="W6" s="120">
        <v>3</v>
      </c>
      <c r="X6" s="139">
        <v>900</v>
      </c>
      <c r="Y6" s="129" t="str">
        <f t="shared" si="5"/>
        <v/>
      </c>
      <c r="Z6" s="118" t="s">
        <v>127</v>
      </c>
      <c r="AA6" s="119" t="str">
        <f t="shared" si="6"/>
        <v>EC</v>
      </c>
      <c r="AB6" s="119" t="str">
        <f t="shared" si="7"/>
        <v>EC</v>
      </c>
      <c r="AC6" s="119" t="str">
        <f t="shared" si="8"/>
        <v>EC</v>
      </c>
      <c r="AE6" s="36">
        <f t="shared" si="0"/>
        <v>236</v>
      </c>
      <c r="AF6" s="36">
        <f t="shared" si="1"/>
        <v>236</v>
      </c>
      <c r="AG6" s="36">
        <f t="shared" si="2"/>
        <v>236</v>
      </c>
      <c r="AI6" s="117">
        <f t="shared" si="3"/>
        <v>0.253</v>
      </c>
      <c r="AJ6" s="117" t="b">
        <f t="shared" si="9"/>
        <v>0</v>
      </c>
      <c r="AK6" s="117">
        <f t="shared" si="10"/>
        <v>64.515000000000001</v>
      </c>
      <c r="AL6" s="117">
        <f t="shared" si="11"/>
        <v>0.747</v>
      </c>
      <c r="AM6">
        <f t="shared" si="4"/>
        <v>0.253</v>
      </c>
      <c r="AQ6" s="135"/>
      <c r="AR6" s="135"/>
      <c r="AS6" s="135"/>
      <c r="AT6" s="135"/>
      <c r="AU6" s="135"/>
      <c r="AW6" s="135"/>
    </row>
    <row r="7" spans="2:49" x14ac:dyDescent="0.3">
      <c r="C7" t="s">
        <v>136</v>
      </c>
      <c r="W7" s="120">
        <v>4</v>
      </c>
      <c r="X7" s="139">
        <v>850</v>
      </c>
      <c r="Y7" s="126" t="str">
        <f t="shared" si="5"/>
        <v/>
      </c>
      <c r="Z7" s="118" t="s">
        <v>124</v>
      </c>
      <c r="AA7" s="119" t="str">
        <f t="shared" si="6"/>
        <v>E5</v>
      </c>
      <c r="AB7" s="119" t="str">
        <f t="shared" si="7"/>
        <v>E5</v>
      </c>
      <c r="AC7" s="119" t="str">
        <f t="shared" si="8"/>
        <v>E5</v>
      </c>
      <c r="AE7" s="36">
        <f t="shared" si="0"/>
        <v>229</v>
      </c>
      <c r="AF7" s="36">
        <f t="shared" si="1"/>
        <v>229</v>
      </c>
      <c r="AG7" s="36">
        <f t="shared" si="2"/>
        <v>229</v>
      </c>
      <c r="AI7" s="117">
        <f t="shared" si="3"/>
        <v>0.22825000000000001</v>
      </c>
      <c r="AJ7" s="117" t="b">
        <f t="shared" si="9"/>
        <v>0</v>
      </c>
      <c r="AK7" s="117">
        <f t="shared" si="10"/>
        <v>58.203749999999999</v>
      </c>
      <c r="AL7" s="117">
        <f t="shared" si="11"/>
        <v>0.77174999999999994</v>
      </c>
      <c r="AM7">
        <f t="shared" si="4"/>
        <v>0.22825000000000001</v>
      </c>
      <c r="AQ7" s="135"/>
      <c r="AR7" s="135"/>
      <c r="AS7" s="135"/>
      <c r="AT7" s="135"/>
      <c r="AU7" s="135"/>
      <c r="AW7" s="135"/>
    </row>
    <row r="8" spans="2:49" x14ac:dyDescent="0.3">
      <c r="B8"/>
      <c r="E8"/>
      <c r="G8"/>
      <c r="I8"/>
      <c r="W8" s="120">
        <v>5</v>
      </c>
      <c r="X8" s="139">
        <v>820</v>
      </c>
      <c r="Y8" s="128" t="str">
        <f t="shared" si="5"/>
        <v/>
      </c>
      <c r="Z8" s="118" t="s">
        <v>126</v>
      </c>
      <c r="AA8" s="119" t="str">
        <f t="shared" si="6"/>
        <v>DD</v>
      </c>
      <c r="AB8" s="119" t="str">
        <f t="shared" si="7"/>
        <v>DD</v>
      </c>
      <c r="AC8" s="119" t="str">
        <f t="shared" si="8"/>
        <v>DD</v>
      </c>
      <c r="AE8" s="36">
        <f t="shared" si="0"/>
        <v>221</v>
      </c>
      <c r="AF8" s="36">
        <f t="shared" si="1"/>
        <v>221</v>
      </c>
      <c r="AG8" s="36">
        <f t="shared" si="2"/>
        <v>221</v>
      </c>
      <c r="AI8" s="117">
        <f t="shared" si="3"/>
        <v>0.21340000000000001</v>
      </c>
      <c r="AJ8" s="117" t="b">
        <f t="shared" si="9"/>
        <v>0</v>
      </c>
      <c r="AK8" s="117">
        <f t="shared" si="10"/>
        <v>54.417000000000002</v>
      </c>
      <c r="AL8" s="117">
        <f t="shared" si="11"/>
        <v>0.78659999999999997</v>
      </c>
      <c r="AM8">
        <f t="shared" si="4"/>
        <v>0.21340000000000001</v>
      </c>
      <c r="AQ8" s="135"/>
      <c r="AR8" s="135"/>
      <c r="AS8" s="135"/>
      <c r="AT8" s="135"/>
      <c r="AU8" s="135"/>
      <c r="AW8" s="135"/>
    </row>
    <row r="9" spans="2:49" x14ac:dyDescent="0.3">
      <c r="B9" s="61"/>
      <c r="C9" s="35"/>
      <c r="D9" s="62"/>
      <c r="E9" s="62"/>
      <c r="F9" s="62"/>
      <c r="G9" s="62"/>
      <c r="H9" s="62"/>
      <c r="I9" s="62">
        <v>1</v>
      </c>
      <c r="K9" s="62">
        <v>1</v>
      </c>
      <c r="W9" s="120">
        <v>6</v>
      </c>
      <c r="X9" s="139">
        <v>800</v>
      </c>
      <c r="Y9" s="134" t="str">
        <f t="shared" si="5"/>
        <v/>
      </c>
      <c r="Z9" s="118" t="s">
        <v>132</v>
      </c>
      <c r="AA9" s="119" t="str">
        <f t="shared" si="6"/>
        <v>D4</v>
      </c>
      <c r="AB9" s="119" t="str">
        <f t="shared" si="7"/>
        <v>D4</v>
      </c>
      <c r="AC9" s="119" t="str">
        <f t="shared" si="8"/>
        <v>D4</v>
      </c>
      <c r="AE9" s="36">
        <f t="shared" si="0"/>
        <v>212</v>
      </c>
      <c r="AF9" s="36">
        <f t="shared" si="1"/>
        <v>212</v>
      </c>
      <c r="AG9" s="36">
        <f t="shared" si="2"/>
        <v>212</v>
      </c>
      <c r="AI9" s="117">
        <f t="shared" si="3"/>
        <v>0.20350000000000001</v>
      </c>
      <c r="AJ9" s="117" t="b">
        <f t="shared" si="9"/>
        <v>0</v>
      </c>
      <c r="AK9" s="117">
        <f t="shared" si="10"/>
        <v>51.892500000000005</v>
      </c>
      <c r="AL9" s="117">
        <f t="shared" si="11"/>
        <v>0.79649999999999999</v>
      </c>
      <c r="AM9">
        <f t="shared" si="4"/>
        <v>0.20350000000000001</v>
      </c>
      <c r="AQ9" s="135"/>
      <c r="AR9" s="135"/>
      <c r="AS9" s="135"/>
      <c r="AT9" s="135"/>
      <c r="AU9" s="135"/>
      <c r="AW9" s="135"/>
    </row>
    <row r="10" spans="2:49" x14ac:dyDescent="0.3">
      <c r="B10" s="63"/>
      <c r="C10" s="35"/>
      <c r="D10" s="62"/>
      <c r="E10" s="13" t="s">
        <v>0</v>
      </c>
      <c r="F10" s="13" t="s">
        <v>1</v>
      </c>
      <c r="G10" s="13" t="s">
        <v>2</v>
      </c>
      <c r="I10" s="13" t="s">
        <v>0</v>
      </c>
      <c r="J10" s="13" t="s">
        <v>1</v>
      </c>
      <c r="K10" s="13" t="s">
        <v>2</v>
      </c>
      <c r="L10" t="s">
        <v>3</v>
      </c>
      <c r="M10" t="s">
        <v>6</v>
      </c>
      <c r="N10" t="s">
        <v>4</v>
      </c>
      <c r="O10" t="s">
        <v>5</v>
      </c>
      <c r="W10" s="120">
        <v>7</v>
      </c>
      <c r="X10" s="139">
        <v>760</v>
      </c>
      <c r="Y10" s="125" t="str">
        <f t="shared" si="5"/>
        <v/>
      </c>
      <c r="Z10" s="118" t="s">
        <v>123</v>
      </c>
      <c r="AA10" s="119" t="str">
        <f t="shared" si="6"/>
        <v>C9</v>
      </c>
      <c r="AB10" s="119" t="str">
        <f t="shared" si="7"/>
        <v>C9</v>
      </c>
      <c r="AC10" s="119" t="str">
        <f t="shared" si="8"/>
        <v>C9</v>
      </c>
      <c r="AE10" s="36">
        <f t="shared" si="0"/>
        <v>201</v>
      </c>
      <c r="AF10" s="36">
        <f t="shared" si="1"/>
        <v>201</v>
      </c>
      <c r="AG10" s="36">
        <f t="shared" si="2"/>
        <v>201</v>
      </c>
      <c r="AI10" s="117">
        <f t="shared" si="3"/>
        <v>0.1837</v>
      </c>
      <c r="AJ10" s="117" t="b">
        <f t="shared" si="9"/>
        <v>0</v>
      </c>
      <c r="AK10" s="117">
        <f t="shared" si="10"/>
        <v>46.843499999999999</v>
      </c>
      <c r="AL10" s="117">
        <f t="shared" si="11"/>
        <v>0.81630000000000003</v>
      </c>
      <c r="AM10">
        <f t="shared" si="4"/>
        <v>0.1837</v>
      </c>
      <c r="AQ10" s="135"/>
      <c r="AR10" s="135"/>
      <c r="AS10" s="135"/>
      <c r="AT10" s="135"/>
      <c r="AU10" s="135"/>
      <c r="AW10" s="135"/>
    </row>
    <row r="11" spans="2:49" x14ac:dyDescent="0.3">
      <c r="B11" s="139">
        <v>950</v>
      </c>
      <c r="C11" s="158" t="str">
        <f t="shared" ref="C11:C23" si="12">SetIt(C11, E11, F11, G11, "#" &amp; _xlfn.CONCAT(E11,F11,G11))</f>
        <v/>
      </c>
      <c r="D11" s="118" t="s">
        <v>154</v>
      </c>
      <c r="E11" s="119" t="str">
        <f t="shared" ref="E11:E23" si="13">IF(I11&lt;16,"0","")&amp;DEC2HEX(I11)</f>
        <v>F9</v>
      </c>
      <c r="F11" s="119" t="str">
        <f t="shared" ref="F11:F23" si="14">IF(J11&lt;16,"0","")&amp;DEC2HEX(J11)</f>
        <v>F9</v>
      </c>
      <c r="G11" s="119" t="str">
        <f t="shared" ref="G11:G23" si="15">IF(K11&lt;16,"0","")&amp;DEC2HEX(K11)</f>
        <v>FF</v>
      </c>
      <c r="I11" s="36">
        <f t="shared" ref="I11:I16" si="16">ROUND(I12*(O11*I$9)+N11,0)</f>
        <v>249</v>
      </c>
      <c r="J11" s="36">
        <f t="shared" ref="J11:J16" si="17">ROUND(J12*O11+N11,0)</f>
        <v>249</v>
      </c>
      <c r="K11" s="36">
        <f t="shared" ref="K11:K16" si="18">MIN(ROUND(K12*(O11*K$9)+N11,0), 255)</f>
        <v>255</v>
      </c>
      <c r="L11" s="62">
        <f>L12+(L$17*M$17)</f>
        <v>0.72</v>
      </c>
      <c r="M11" s="62" t="b">
        <f t="shared" ref="M11:M16" si="19">(L11&lt;0)</f>
        <v>0</v>
      </c>
      <c r="N11" s="62">
        <f t="shared" ref="N11:N16" si="20">IF(M11,0,255*L11)</f>
        <v>183.6</v>
      </c>
      <c r="O11" s="62">
        <f t="shared" ref="O11:O16" si="21">IF(M11,1+L11,1-L11)</f>
        <v>0.28000000000000003</v>
      </c>
      <c r="W11" s="120">
        <v>8</v>
      </c>
      <c r="X11" s="139">
        <v>730</v>
      </c>
      <c r="Y11" s="123" t="str">
        <f t="shared" ref="Y11:Y19" si="22">SetIt(Y11, AA11, AB11, AC11, "#" &amp; _xlfn.CONCAT(AA11,AB11,AC11))</f>
        <v/>
      </c>
      <c r="Z11" s="118" t="s">
        <v>121</v>
      </c>
      <c r="AA11" s="119" t="str">
        <f t="shared" ref="AA11:AA19" si="23">IF(AE11&lt;16,"0","")&amp;DEC2HEX(AE11)</f>
        <v>BD</v>
      </c>
      <c r="AB11" s="119" t="str">
        <f t="shared" ref="AB11:AB19" si="24">IF(AF11&lt;16,"0","")&amp;DEC2HEX(AF11)</f>
        <v>BD</v>
      </c>
      <c r="AC11" s="119" t="str">
        <f t="shared" ref="AC11:AC19" si="25">IF(AG11&lt;16,"0","")&amp;DEC2HEX(AG11)</f>
        <v>BD</v>
      </c>
      <c r="AE11" s="36">
        <f t="shared" si="0"/>
        <v>189</v>
      </c>
      <c r="AF11" s="36">
        <f t="shared" si="1"/>
        <v>189</v>
      </c>
      <c r="AG11" s="36">
        <f t="shared" si="2"/>
        <v>189</v>
      </c>
      <c r="AI11" s="117">
        <f t="shared" si="3"/>
        <v>0.16885</v>
      </c>
      <c r="AJ11" s="117" t="b">
        <f t="shared" ref="AJ11:AJ16" si="26">(AI11&lt;0)</f>
        <v>0</v>
      </c>
      <c r="AK11" s="117">
        <f t="shared" ref="AK11:AK16" si="27">IF(AJ11,0,255*AI11)</f>
        <v>43.056750000000001</v>
      </c>
      <c r="AL11" s="117">
        <f t="shared" ref="AL11:AL16" si="28">IF(AJ11,1+AI11,1-AI11)</f>
        <v>0.83115000000000006</v>
      </c>
      <c r="AM11">
        <f t="shared" si="4"/>
        <v>0.16885</v>
      </c>
      <c r="AQ11" s="135"/>
      <c r="AR11" s="135"/>
      <c r="AS11" s="135"/>
      <c r="AT11" s="135"/>
      <c r="AU11" s="135"/>
      <c r="AW11" s="135"/>
    </row>
    <row r="12" spans="2:49" x14ac:dyDescent="0.3">
      <c r="B12" s="139">
        <v>900</v>
      </c>
      <c r="C12" s="57" t="str">
        <f t="shared" si="12"/>
        <v/>
      </c>
      <c r="D12" s="118" t="s">
        <v>60</v>
      </c>
      <c r="E12" s="119" t="str">
        <f t="shared" si="13"/>
        <v>E8</v>
      </c>
      <c r="F12" s="119" t="str">
        <f t="shared" si="14"/>
        <v>E8</v>
      </c>
      <c r="G12" s="119" t="str">
        <f t="shared" si="15"/>
        <v>FF</v>
      </c>
      <c r="I12" s="36">
        <f t="shared" si="16"/>
        <v>232</v>
      </c>
      <c r="J12" s="36">
        <f t="shared" si="17"/>
        <v>232</v>
      </c>
      <c r="K12" s="36">
        <f t="shared" si="18"/>
        <v>255</v>
      </c>
      <c r="L12" s="62">
        <f>L13+(L$17*M$17)</f>
        <v>0.6</v>
      </c>
      <c r="M12" s="62" t="b">
        <f t="shared" si="19"/>
        <v>0</v>
      </c>
      <c r="N12" s="62">
        <f t="shared" si="20"/>
        <v>153</v>
      </c>
      <c r="O12" s="62">
        <f t="shared" si="21"/>
        <v>0.4</v>
      </c>
      <c r="W12" s="120">
        <v>9</v>
      </c>
      <c r="X12" s="139">
        <v>700</v>
      </c>
      <c r="Y12" s="130" t="str">
        <f t="shared" si="22"/>
        <v/>
      </c>
      <c r="Z12" s="118" t="s">
        <v>128</v>
      </c>
      <c r="AA12" s="119" t="str">
        <f t="shared" si="23"/>
        <v>AF</v>
      </c>
      <c r="AB12" s="119" t="str">
        <f t="shared" si="24"/>
        <v>AF</v>
      </c>
      <c r="AC12" s="119" t="str">
        <f t="shared" si="25"/>
        <v>AF</v>
      </c>
      <c r="AE12" s="36">
        <f t="shared" si="0"/>
        <v>175</v>
      </c>
      <c r="AF12" s="36">
        <f t="shared" si="1"/>
        <v>175</v>
      </c>
      <c r="AG12" s="36">
        <f t="shared" si="2"/>
        <v>175</v>
      </c>
      <c r="AI12" s="117">
        <f t="shared" si="3"/>
        <v>0.154</v>
      </c>
      <c r="AJ12" s="117" t="b">
        <f t="shared" si="26"/>
        <v>0</v>
      </c>
      <c r="AK12" s="117">
        <f t="shared" si="27"/>
        <v>39.269999999999996</v>
      </c>
      <c r="AL12" s="117">
        <f t="shared" si="28"/>
        <v>0.84599999999999997</v>
      </c>
      <c r="AM12">
        <f t="shared" si="4"/>
        <v>0.154</v>
      </c>
      <c r="AQ12" s="135"/>
      <c r="AR12" s="135"/>
      <c r="AS12" s="135"/>
      <c r="AT12" s="135"/>
      <c r="AU12" s="135"/>
      <c r="AW12" s="135"/>
    </row>
    <row r="13" spans="2:49" x14ac:dyDescent="0.3">
      <c r="B13" s="139">
        <v>800</v>
      </c>
      <c r="C13" s="156" t="str">
        <f t="shared" si="12"/>
        <v/>
      </c>
      <c r="D13" s="118" t="s">
        <v>152</v>
      </c>
      <c r="E13" s="119" t="str">
        <f t="shared" si="13"/>
        <v>C6</v>
      </c>
      <c r="F13" s="119" t="str">
        <f t="shared" si="14"/>
        <v>C6</v>
      </c>
      <c r="G13" s="119" t="str">
        <f t="shared" si="15"/>
        <v>FF</v>
      </c>
      <c r="I13" s="36">
        <f t="shared" si="16"/>
        <v>198</v>
      </c>
      <c r="J13" s="36">
        <f t="shared" si="17"/>
        <v>198</v>
      </c>
      <c r="K13" s="36">
        <f t="shared" si="18"/>
        <v>255</v>
      </c>
      <c r="L13" s="62">
        <f>L14+(L$17*M$17)</f>
        <v>0.48</v>
      </c>
      <c r="M13" s="62" t="b">
        <f t="shared" si="19"/>
        <v>0</v>
      </c>
      <c r="N13" s="62">
        <f t="shared" si="20"/>
        <v>122.39999999999999</v>
      </c>
      <c r="O13" s="62">
        <f t="shared" si="21"/>
        <v>0.52</v>
      </c>
      <c r="W13" s="120">
        <v>10</v>
      </c>
      <c r="X13" s="139">
        <v>650</v>
      </c>
      <c r="Y13" s="127" t="str">
        <f t="shared" si="22"/>
        <v/>
      </c>
      <c r="Z13" s="118" t="s">
        <v>125</v>
      </c>
      <c r="AA13" s="119" t="str">
        <f t="shared" si="23"/>
        <v>A1</v>
      </c>
      <c r="AB13" s="119" t="str">
        <f t="shared" si="24"/>
        <v>A1</v>
      </c>
      <c r="AC13" s="119" t="str">
        <f t="shared" si="25"/>
        <v>A1</v>
      </c>
      <c r="AE13" s="36">
        <f t="shared" si="0"/>
        <v>161</v>
      </c>
      <c r="AF13" s="36">
        <f t="shared" si="1"/>
        <v>161</v>
      </c>
      <c r="AG13" s="36">
        <f t="shared" si="2"/>
        <v>161</v>
      </c>
      <c r="AI13" s="117">
        <f t="shared" si="3"/>
        <v>0.12925</v>
      </c>
      <c r="AJ13" s="117" t="b">
        <f t="shared" si="26"/>
        <v>0</v>
      </c>
      <c r="AK13" s="117">
        <f t="shared" si="27"/>
        <v>32.958750000000002</v>
      </c>
      <c r="AL13" s="117">
        <f t="shared" si="28"/>
        <v>0.87075000000000002</v>
      </c>
      <c r="AM13">
        <f t="shared" si="4"/>
        <v>0.12925</v>
      </c>
      <c r="AQ13" s="135"/>
      <c r="AR13" s="135"/>
      <c r="AS13" s="135"/>
      <c r="AT13" s="135"/>
      <c r="AU13" s="135"/>
      <c r="AW13" s="135"/>
    </row>
    <row r="14" spans="2:49" x14ac:dyDescent="0.3">
      <c r="B14" s="139">
        <v>700</v>
      </c>
      <c r="C14" s="155" t="str">
        <f t="shared" si="12"/>
        <v/>
      </c>
      <c r="D14" s="118" t="s">
        <v>151</v>
      </c>
      <c r="E14" s="119" t="str">
        <f t="shared" si="13"/>
        <v>92</v>
      </c>
      <c r="F14" s="119" t="str">
        <f t="shared" si="14"/>
        <v>92</v>
      </c>
      <c r="G14" s="119" t="str">
        <f t="shared" si="15"/>
        <v>FF</v>
      </c>
      <c r="I14" s="36">
        <f t="shared" si="16"/>
        <v>146</v>
      </c>
      <c r="J14" s="36">
        <f t="shared" si="17"/>
        <v>146</v>
      </c>
      <c r="K14" s="36">
        <f t="shared" si="18"/>
        <v>255</v>
      </c>
      <c r="L14" s="62">
        <f>L15+(L$17*M$17)</f>
        <v>0.36</v>
      </c>
      <c r="M14" s="62" t="b">
        <f t="shared" si="19"/>
        <v>0</v>
      </c>
      <c r="N14" s="62">
        <f t="shared" si="20"/>
        <v>91.8</v>
      </c>
      <c r="O14" s="62">
        <f t="shared" si="21"/>
        <v>0.64</v>
      </c>
      <c r="W14" s="120">
        <v>11</v>
      </c>
      <c r="X14" s="139">
        <v>600</v>
      </c>
      <c r="Y14" s="133" t="str">
        <f t="shared" si="22"/>
        <v/>
      </c>
      <c r="Z14" s="118" t="s">
        <v>131</v>
      </c>
      <c r="AA14" s="119" t="str">
        <f t="shared" si="23"/>
        <v>93</v>
      </c>
      <c r="AB14" s="119" t="str">
        <f t="shared" si="24"/>
        <v>93</v>
      </c>
      <c r="AC14" s="119" t="str">
        <f t="shared" si="25"/>
        <v>93</v>
      </c>
      <c r="AE14" s="36">
        <f t="shared" si="0"/>
        <v>147</v>
      </c>
      <c r="AF14" s="36">
        <f t="shared" si="1"/>
        <v>147</v>
      </c>
      <c r="AG14" s="36">
        <f t="shared" si="2"/>
        <v>147</v>
      </c>
      <c r="AI14" s="117">
        <f t="shared" si="3"/>
        <v>0.10450000000000001</v>
      </c>
      <c r="AJ14" s="117" t="b">
        <f t="shared" si="26"/>
        <v>0</v>
      </c>
      <c r="AK14" s="117">
        <f t="shared" si="27"/>
        <v>26.647500000000001</v>
      </c>
      <c r="AL14" s="117">
        <f t="shared" si="28"/>
        <v>0.89549999999999996</v>
      </c>
      <c r="AM14">
        <f t="shared" si="4"/>
        <v>0.10450000000000001</v>
      </c>
      <c r="AQ14" s="135"/>
      <c r="AR14" s="135"/>
      <c r="AS14" s="135"/>
      <c r="AT14" s="135"/>
      <c r="AU14" s="135"/>
      <c r="AW14" s="135"/>
    </row>
    <row r="15" spans="2:49" x14ac:dyDescent="0.3">
      <c r="B15" s="139">
        <v>600</v>
      </c>
      <c r="C15" s="153" t="str">
        <f t="shared" si="12"/>
        <v/>
      </c>
      <c r="D15" s="118" t="s">
        <v>149</v>
      </c>
      <c r="E15" s="119" t="str">
        <f t="shared" si="13"/>
        <v>55</v>
      </c>
      <c r="F15" s="119" t="str">
        <f t="shared" si="14"/>
        <v>55</v>
      </c>
      <c r="G15" s="119" t="str">
        <f t="shared" si="15"/>
        <v>FF</v>
      </c>
      <c r="I15" s="36">
        <f t="shared" si="16"/>
        <v>85</v>
      </c>
      <c r="J15" s="36">
        <f t="shared" si="17"/>
        <v>85</v>
      </c>
      <c r="K15" s="36">
        <f t="shared" si="18"/>
        <v>255</v>
      </c>
      <c r="L15" s="62">
        <f>L16+(L$17*M$17)</f>
        <v>0.24</v>
      </c>
      <c r="M15" s="62" t="b">
        <f t="shared" si="19"/>
        <v>0</v>
      </c>
      <c r="N15" s="62">
        <f t="shared" si="20"/>
        <v>61.199999999999996</v>
      </c>
      <c r="O15" s="62">
        <f t="shared" si="21"/>
        <v>0.76</v>
      </c>
      <c r="W15" s="120">
        <v>12</v>
      </c>
      <c r="X15" s="139">
        <v>550</v>
      </c>
      <c r="Y15" s="132" t="str">
        <f t="shared" si="22"/>
        <v/>
      </c>
      <c r="Z15" s="118" t="s">
        <v>130</v>
      </c>
      <c r="AA15" s="119" t="str">
        <f t="shared" si="23"/>
        <v>86</v>
      </c>
      <c r="AB15" s="119" t="str">
        <f t="shared" si="24"/>
        <v>86</v>
      </c>
      <c r="AC15" s="119" t="str">
        <f t="shared" si="25"/>
        <v>86</v>
      </c>
      <c r="AE15" s="36">
        <f t="shared" si="0"/>
        <v>134</v>
      </c>
      <c r="AF15" s="36">
        <f t="shared" si="1"/>
        <v>134</v>
      </c>
      <c r="AG15" s="36">
        <f t="shared" si="2"/>
        <v>134</v>
      </c>
      <c r="AI15" s="117">
        <f t="shared" si="3"/>
        <v>7.9750000000000001E-2</v>
      </c>
      <c r="AJ15" s="117" t="b">
        <f t="shared" si="26"/>
        <v>0</v>
      </c>
      <c r="AK15" s="117">
        <f t="shared" si="27"/>
        <v>20.33625</v>
      </c>
      <c r="AL15" s="117">
        <f>IF(AJ15,1+AI15,1-AI15)</f>
        <v>0.92025000000000001</v>
      </c>
      <c r="AM15">
        <f t="shared" si="4"/>
        <v>7.9750000000000001E-2</v>
      </c>
      <c r="AQ15" s="135"/>
      <c r="AR15" s="135"/>
      <c r="AS15" s="135"/>
      <c r="AT15" s="135"/>
      <c r="AU15" s="135"/>
      <c r="AW15" s="135"/>
    </row>
    <row r="16" spans="2:49" ht="15" thickBot="1" x14ac:dyDescent="0.35">
      <c r="B16" s="139">
        <v>500</v>
      </c>
      <c r="C16" s="154" t="str">
        <f t="shared" si="12"/>
        <v/>
      </c>
      <c r="D16" s="118" t="s">
        <v>150</v>
      </c>
      <c r="E16" s="119" t="str">
        <f t="shared" si="13"/>
        <v>1F</v>
      </c>
      <c r="F16" s="119" t="str">
        <f t="shared" si="14"/>
        <v>1F</v>
      </c>
      <c r="G16" s="119" t="str">
        <f t="shared" si="15"/>
        <v>FF</v>
      </c>
      <c r="I16" s="36">
        <f t="shared" si="16"/>
        <v>31</v>
      </c>
      <c r="J16" s="36">
        <f t="shared" si="17"/>
        <v>31</v>
      </c>
      <c r="K16" s="36">
        <f t="shared" si="18"/>
        <v>255</v>
      </c>
      <c r="L16" s="62">
        <f>L17</f>
        <v>0.12</v>
      </c>
      <c r="M16" s="62" t="b">
        <f t="shared" si="19"/>
        <v>0</v>
      </c>
      <c r="N16" s="62">
        <f t="shared" si="20"/>
        <v>30.599999999999998</v>
      </c>
      <c r="O16" s="62">
        <f t="shared" si="21"/>
        <v>0.88</v>
      </c>
      <c r="W16" s="120">
        <v>13</v>
      </c>
      <c r="X16" s="139">
        <v>500</v>
      </c>
      <c r="Y16" s="121" t="str">
        <f t="shared" si="22"/>
        <v/>
      </c>
      <c r="Z16" s="118" t="s">
        <v>119</v>
      </c>
      <c r="AA16" s="119" t="str">
        <f t="shared" si="23"/>
        <v>7C</v>
      </c>
      <c r="AB16" s="119" t="str">
        <f t="shared" si="24"/>
        <v>7C</v>
      </c>
      <c r="AC16" s="119" t="str">
        <f t="shared" si="25"/>
        <v>7C</v>
      </c>
      <c r="AE16" s="36">
        <f>ROUND(AE17*(AL16*AE$2)+AK16,0)</f>
        <v>124</v>
      </c>
      <c r="AF16" s="36">
        <f>ROUND(AF17*AL16+AK16,0)</f>
        <v>124</v>
      </c>
      <c r="AG16" s="36">
        <f>MIN(ROUND(AG17*(AL16*AG$2)+AK16,0), 255)</f>
        <v>124</v>
      </c>
      <c r="AI16" s="117">
        <f>AI17</f>
        <v>5.5E-2</v>
      </c>
      <c r="AJ16" s="117" t="b">
        <f t="shared" si="26"/>
        <v>0</v>
      </c>
      <c r="AK16" s="117">
        <f t="shared" si="27"/>
        <v>14.025</v>
      </c>
      <c r="AL16" s="117">
        <f t="shared" si="28"/>
        <v>0.94499999999999995</v>
      </c>
      <c r="AQ16" s="135"/>
      <c r="AR16" s="135"/>
      <c r="AS16" s="135"/>
      <c r="AT16" s="135"/>
      <c r="AU16" s="135"/>
      <c r="AW16" s="135"/>
    </row>
    <row r="17" spans="2:49" ht="15.6" thickTop="1" thickBot="1" x14ac:dyDescent="0.35">
      <c r="B17" s="140">
        <v>450</v>
      </c>
      <c r="C17" s="152" t="str">
        <f t="shared" si="12"/>
        <v/>
      </c>
      <c r="D17" s="118" t="s">
        <v>20</v>
      </c>
      <c r="E17" s="119" t="str">
        <f t="shared" si="13"/>
        <v>00</v>
      </c>
      <c r="F17" s="119" t="str">
        <f t="shared" si="14"/>
        <v>00</v>
      </c>
      <c r="G17" s="119" t="str">
        <f t="shared" si="15"/>
        <v>FF</v>
      </c>
      <c r="I17" s="106">
        <v>0</v>
      </c>
      <c r="J17" s="106">
        <v>0</v>
      </c>
      <c r="K17" s="106">
        <v>255</v>
      </c>
      <c r="L17" s="62">
        <v>0.12</v>
      </c>
      <c r="M17" s="62">
        <v>1</v>
      </c>
      <c r="N17" s="62">
        <v>-0.04</v>
      </c>
      <c r="O17" s="62">
        <v>1</v>
      </c>
      <c r="R17" s="104"/>
      <c r="S17" s="104"/>
      <c r="T17" s="104"/>
      <c r="U17" s="104"/>
      <c r="V17" s="104"/>
      <c r="W17" s="120">
        <v>14</v>
      </c>
      <c r="X17" s="140">
        <v>450</v>
      </c>
      <c r="Y17" s="131" t="str">
        <f t="shared" si="22"/>
        <v/>
      </c>
      <c r="Z17" s="118" t="s">
        <v>129</v>
      </c>
      <c r="AA17" s="119" t="str">
        <f t="shared" si="23"/>
        <v>74</v>
      </c>
      <c r="AB17" s="119" t="str">
        <f t="shared" si="24"/>
        <v>74</v>
      </c>
      <c r="AC17" s="119" t="str">
        <f t="shared" si="25"/>
        <v>74</v>
      </c>
      <c r="AE17" s="106">
        <v>116</v>
      </c>
      <c r="AF17" s="106">
        <v>116</v>
      </c>
      <c r="AG17" s="106">
        <v>116</v>
      </c>
      <c r="AI17" s="117">
        <v>5.5E-2</v>
      </c>
      <c r="AJ17" s="117">
        <v>0.9</v>
      </c>
      <c r="AK17" s="117">
        <v>-0.05</v>
      </c>
      <c r="AL17" s="117">
        <v>0.8</v>
      </c>
      <c r="AQ17" s="135"/>
      <c r="AR17" s="135"/>
      <c r="AS17" s="135"/>
      <c r="AT17" s="135"/>
      <c r="AU17" s="135"/>
      <c r="AW17" s="135"/>
    </row>
    <row r="18" spans="2:49" ht="15" thickTop="1" x14ac:dyDescent="0.3">
      <c r="B18" s="139">
        <v>400</v>
      </c>
      <c r="C18" s="157" t="str">
        <f t="shared" si="12"/>
        <v/>
      </c>
      <c r="D18" s="118" t="s">
        <v>153</v>
      </c>
      <c r="E18" s="119" t="str">
        <f t="shared" si="13"/>
        <v>00</v>
      </c>
      <c r="F18" s="119" t="str">
        <f t="shared" si="14"/>
        <v>00</v>
      </c>
      <c r="G18" s="119" t="str">
        <f t="shared" si="15"/>
        <v>EB</v>
      </c>
      <c r="I18" s="36">
        <f t="shared" ref="I18:I23" si="29">ROUND(I17*(O18*I$9)+N18,0)</f>
        <v>0</v>
      </c>
      <c r="J18" s="36">
        <f t="shared" ref="J18:J23" si="30">ROUND(J17*O18+N18,0)</f>
        <v>0</v>
      </c>
      <c r="K18" s="36">
        <f t="shared" ref="K18:K23" si="31">MIN(ROUND(K17*(O18*K$9)+N18,0), 255)</f>
        <v>235</v>
      </c>
      <c r="L18" s="62">
        <f>2*N17</f>
        <v>-0.08</v>
      </c>
      <c r="M18" s="62" t="b">
        <f t="shared" ref="M18:M23" si="32">(L18&lt;0)</f>
        <v>1</v>
      </c>
      <c r="N18" s="62">
        <f t="shared" ref="N18:N23" si="33">IF(M18,0,255*L18)</f>
        <v>0</v>
      </c>
      <c r="O18" s="62">
        <f t="shared" ref="O18:O23" si="34">IF(M18,1+L18,1-L18)</f>
        <v>0.92</v>
      </c>
      <c r="W18" s="120">
        <v>15</v>
      </c>
      <c r="X18" s="141">
        <v>440</v>
      </c>
      <c r="Y18" s="137" t="str">
        <f t="shared" si="22"/>
        <v/>
      </c>
      <c r="Z18" s="118" t="s">
        <v>139</v>
      </c>
      <c r="AA18" s="119" t="str">
        <f t="shared" si="23"/>
        <v>6B</v>
      </c>
      <c r="AB18" s="119" t="str">
        <f t="shared" si="24"/>
        <v>6B</v>
      </c>
      <c r="AC18" s="119" t="str">
        <f t="shared" si="25"/>
        <v>6B</v>
      </c>
      <c r="AE18" s="36">
        <f>ROUND(AE17*(AL18*AE$2)+AK18,0)</f>
        <v>107</v>
      </c>
      <c r="AF18" s="36">
        <f>ROUND(AF17*AL18+AK18,0)</f>
        <v>107</v>
      </c>
      <c r="AG18" s="36">
        <f>MIN(ROUND(AG17*(AL18*AG$2)+AK18,0), 255)</f>
        <v>107</v>
      </c>
      <c r="AI18" s="117">
        <f>(500-X18)/100 * (AK$17*AL$17)+AK$17</f>
        <v>-7.400000000000001E-2</v>
      </c>
      <c r="AJ18" s="117" t="b">
        <f t="shared" ref="AJ18:AJ28" si="35">(AI18&lt;0)</f>
        <v>1</v>
      </c>
      <c r="AK18" s="117">
        <f t="shared" ref="AK18:AK28" si="36">IF(AJ18,0,255*AI18)</f>
        <v>0</v>
      </c>
      <c r="AL18" s="117">
        <f t="shared" ref="AL18:AL28" si="37">IF(AJ18,1+AI18,1-AI18)</f>
        <v>0.92599999999999993</v>
      </c>
      <c r="AM18">
        <f t="shared" ref="AM18:AM28" si="38">(500-X18)/100 * (AK$17*AL$17)+AK$17</f>
        <v>-7.400000000000001E-2</v>
      </c>
      <c r="AQ18" s="135"/>
      <c r="AR18" s="135"/>
      <c r="AS18" s="135"/>
      <c r="AT18" s="135"/>
      <c r="AU18" s="135"/>
      <c r="AW18" s="135"/>
    </row>
    <row r="19" spans="2:49" x14ac:dyDescent="0.3">
      <c r="B19" s="139">
        <v>300</v>
      </c>
      <c r="C19" s="159" t="str">
        <f t="shared" si="12"/>
        <v/>
      </c>
      <c r="D19" s="118" t="s">
        <v>155</v>
      </c>
      <c r="E19" s="119" t="str">
        <f t="shared" si="13"/>
        <v>00</v>
      </c>
      <c r="F19" s="119" t="str">
        <f t="shared" si="14"/>
        <v>00</v>
      </c>
      <c r="G19" s="119" t="str">
        <f t="shared" si="15"/>
        <v>CF</v>
      </c>
      <c r="I19" s="36">
        <f t="shared" si="29"/>
        <v>0</v>
      </c>
      <c r="J19" s="36">
        <f t="shared" si="30"/>
        <v>0</v>
      </c>
      <c r="K19" s="36">
        <f t="shared" si="31"/>
        <v>207</v>
      </c>
      <c r="L19" s="62">
        <f>L18+(N$17*O$17)</f>
        <v>-0.12</v>
      </c>
      <c r="M19" s="62" t="b">
        <f t="shared" si="32"/>
        <v>1</v>
      </c>
      <c r="N19" s="62">
        <f t="shared" si="33"/>
        <v>0</v>
      </c>
      <c r="O19" s="62">
        <f t="shared" si="34"/>
        <v>0.88</v>
      </c>
      <c r="W19" s="120">
        <v>16</v>
      </c>
      <c r="X19" s="139">
        <v>400</v>
      </c>
      <c r="Y19" s="138" t="str">
        <f t="shared" si="22"/>
        <v/>
      </c>
      <c r="Z19" s="118" t="s">
        <v>140</v>
      </c>
      <c r="AA19" s="119" t="str">
        <f t="shared" si="23"/>
        <v>61</v>
      </c>
      <c r="AB19" s="119" t="str">
        <f t="shared" si="24"/>
        <v>61</v>
      </c>
      <c r="AC19" s="119" t="str">
        <f t="shared" si="25"/>
        <v>61</v>
      </c>
      <c r="AE19" s="36">
        <f t="shared" ref="AE19:AE28" si="39">ROUND(AE18*(AL19*AE$2)+AK19,0)</f>
        <v>97</v>
      </c>
      <c r="AF19" s="36">
        <f t="shared" ref="AF19:AF28" si="40">ROUND(AF18*AL19+AK19,0)</f>
        <v>97</v>
      </c>
      <c r="AG19" s="36">
        <f t="shared" ref="AG19:AG28" si="41">MIN(ROUND(AG18*(AL19*AG$2)+AK19,0), 255)</f>
        <v>97</v>
      </c>
      <c r="AI19" s="135">
        <f t="shared" ref="AI19:AI28" si="42">(500-X19)/100 * (AK$17*AL$17)+AK$17</f>
        <v>-9.0000000000000011E-2</v>
      </c>
      <c r="AJ19" s="117" t="b">
        <f t="shared" si="35"/>
        <v>1</v>
      </c>
      <c r="AK19" s="117">
        <f t="shared" si="36"/>
        <v>0</v>
      </c>
      <c r="AL19" s="117">
        <f t="shared" si="37"/>
        <v>0.91</v>
      </c>
      <c r="AM19">
        <f t="shared" si="38"/>
        <v>-9.0000000000000011E-2</v>
      </c>
      <c r="AQ19" s="135"/>
      <c r="AR19" s="135"/>
      <c r="AS19" s="135"/>
      <c r="AT19" s="135"/>
      <c r="AU19" s="135"/>
      <c r="AW19" s="135"/>
    </row>
    <row r="20" spans="2:49" x14ac:dyDescent="0.3">
      <c r="B20" s="139">
        <v>200</v>
      </c>
      <c r="C20" s="160" t="str">
        <f t="shared" si="12"/>
        <v/>
      </c>
      <c r="D20" s="118" t="s">
        <v>156</v>
      </c>
      <c r="E20" s="119" t="str">
        <f t="shared" si="13"/>
        <v>00</v>
      </c>
      <c r="F20" s="119" t="str">
        <f t="shared" si="14"/>
        <v>00</v>
      </c>
      <c r="G20" s="119" t="str">
        <f t="shared" si="15"/>
        <v>AE</v>
      </c>
      <c r="I20" s="36">
        <f t="shared" si="29"/>
        <v>0</v>
      </c>
      <c r="J20" s="36">
        <f t="shared" si="30"/>
        <v>0</v>
      </c>
      <c r="K20" s="36">
        <f t="shared" si="31"/>
        <v>174</v>
      </c>
      <c r="L20" s="62">
        <f>L19+(N$17*O$17)</f>
        <v>-0.16</v>
      </c>
      <c r="M20" s="62" t="b">
        <f t="shared" si="32"/>
        <v>1</v>
      </c>
      <c r="N20" s="62">
        <f t="shared" si="33"/>
        <v>0</v>
      </c>
      <c r="O20" s="62">
        <f t="shared" si="34"/>
        <v>0.84</v>
      </c>
      <c r="W20" s="120">
        <v>17</v>
      </c>
      <c r="X20" s="139">
        <v>350</v>
      </c>
      <c r="Y20" s="142" t="str">
        <f t="shared" ref="Y20:Y28" si="43">SetIt(Y20, AA20, AB20, AC20, "#" &amp; _xlfn.CONCAT(AA20,AB20,AC20))</f>
        <v/>
      </c>
      <c r="Z20" s="118" t="s">
        <v>141</v>
      </c>
      <c r="AA20" s="119" t="str">
        <f t="shared" ref="AA20:AC26" si="44">IF(AE20&lt;16,"0","")&amp;DEC2HEX(AE20)</f>
        <v>56</v>
      </c>
      <c r="AB20" s="119" t="str">
        <f t="shared" si="44"/>
        <v>56</v>
      </c>
      <c r="AC20" s="119" t="str">
        <f t="shared" si="44"/>
        <v>56</v>
      </c>
      <c r="AE20" s="36">
        <f t="shared" si="39"/>
        <v>86</v>
      </c>
      <c r="AF20" s="36">
        <f t="shared" si="40"/>
        <v>86</v>
      </c>
      <c r="AG20" s="36">
        <f t="shared" si="41"/>
        <v>86</v>
      </c>
      <c r="AI20" s="135">
        <f t="shared" si="42"/>
        <v>-0.11000000000000001</v>
      </c>
      <c r="AJ20" s="135" t="b">
        <f t="shared" si="35"/>
        <v>1</v>
      </c>
      <c r="AK20" s="135">
        <f t="shared" si="36"/>
        <v>0</v>
      </c>
      <c r="AL20" s="135">
        <f t="shared" si="37"/>
        <v>0.89</v>
      </c>
      <c r="AM20">
        <f t="shared" si="38"/>
        <v>-0.11000000000000001</v>
      </c>
      <c r="AQ20" s="135"/>
      <c r="AR20" s="135"/>
      <c r="AS20" s="135"/>
      <c r="AT20" s="135"/>
      <c r="AU20" s="135"/>
      <c r="AW20" s="135"/>
    </row>
    <row r="21" spans="2:49" x14ac:dyDescent="0.3">
      <c r="B21" s="139">
        <v>100</v>
      </c>
      <c r="C21" s="55" t="str">
        <f t="shared" si="12"/>
        <v/>
      </c>
      <c r="D21" s="118" t="s">
        <v>58</v>
      </c>
      <c r="E21" s="119" t="str">
        <f t="shared" si="13"/>
        <v>00</v>
      </c>
      <c r="F21" s="119" t="str">
        <f t="shared" si="14"/>
        <v>00</v>
      </c>
      <c r="G21" s="119" t="str">
        <f t="shared" si="15"/>
        <v>8B</v>
      </c>
      <c r="I21" s="36">
        <f t="shared" si="29"/>
        <v>0</v>
      </c>
      <c r="J21" s="36">
        <f t="shared" si="30"/>
        <v>0</v>
      </c>
      <c r="K21" s="36">
        <f t="shared" si="31"/>
        <v>139</v>
      </c>
      <c r="L21" s="62">
        <f>L20+(N$17*O$17)</f>
        <v>-0.2</v>
      </c>
      <c r="M21" s="62" t="b">
        <f t="shared" si="32"/>
        <v>1</v>
      </c>
      <c r="N21" s="62">
        <f t="shared" si="33"/>
        <v>0</v>
      </c>
      <c r="O21" s="62">
        <f t="shared" si="34"/>
        <v>0.8</v>
      </c>
      <c r="W21" s="120">
        <v>18</v>
      </c>
      <c r="X21" s="139">
        <v>300</v>
      </c>
      <c r="Y21" s="143" t="str">
        <f t="shared" si="43"/>
        <v/>
      </c>
      <c r="Z21" s="118" t="s">
        <v>142</v>
      </c>
      <c r="AA21" s="119" t="str">
        <f t="shared" si="44"/>
        <v>4B</v>
      </c>
      <c r="AB21" s="119" t="str">
        <f t="shared" si="44"/>
        <v>4B</v>
      </c>
      <c r="AC21" s="119" t="str">
        <f t="shared" si="44"/>
        <v>4B</v>
      </c>
      <c r="AE21" s="36">
        <f t="shared" si="39"/>
        <v>75</v>
      </c>
      <c r="AF21" s="36">
        <f t="shared" si="40"/>
        <v>75</v>
      </c>
      <c r="AG21" s="36">
        <f t="shared" si="41"/>
        <v>75</v>
      </c>
      <c r="AI21" s="135">
        <f t="shared" si="42"/>
        <v>-0.13</v>
      </c>
      <c r="AJ21" s="117" t="b">
        <f t="shared" si="35"/>
        <v>1</v>
      </c>
      <c r="AK21" s="117">
        <f t="shared" si="36"/>
        <v>0</v>
      </c>
      <c r="AL21" s="117">
        <f t="shared" si="37"/>
        <v>0.87</v>
      </c>
      <c r="AM21">
        <f t="shared" si="38"/>
        <v>-0.13</v>
      </c>
      <c r="AQ21" s="135"/>
      <c r="AR21" s="135"/>
      <c r="AS21" s="135"/>
      <c r="AT21" s="135"/>
      <c r="AU21" s="135"/>
      <c r="AW21" s="135"/>
    </row>
    <row r="22" spans="2:49" x14ac:dyDescent="0.3">
      <c r="B22" s="139">
        <v>50</v>
      </c>
      <c r="C22" s="162" t="str">
        <f t="shared" si="12"/>
        <v/>
      </c>
      <c r="D22" s="118" t="s">
        <v>158</v>
      </c>
      <c r="E22" s="119" t="str">
        <f t="shared" si="13"/>
        <v>00</v>
      </c>
      <c r="F22" s="119" t="str">
        <f t="shared" si="14"/>
        <v>00</v>
      </c>
      <c r="G22" s="119" t="str">
        <f t="shared" si="15"/>
        <v>6A</v>
      </c>
      <c r="I22" s="36">
        <f t="shared" si="29"/>
        <v>0</v>
      </c>
      <c r="J22" s="36">
        <f t="shared" si="30"/>
        <v>0</v>
      </c>
      <c r="K22" s="36">
        <f t="shared" si="31"/>
        <v>106</v>
      </c>
      <c r="L22" s="62">
        <f>L21+(N$17*O$17)</f>
        <v>-0.24000000000000002</v>
      </c>
      <c r="M22" s="62" t="b">
        <f t="shared" si="32"/>
        <v>1</v>
      </c>
      <c r="N22" s="62">
        <f t="shared" si="33"/>
        <v>0</v>
      </c>
      <c r="O22" s="62">
        <f t="shared" si="34"/>
        <v>0.76</v>
      </c>
      <c r="W22" s="120">
        <v>19</v>
      </c>
      <c r="X22" s="139">
        <v>250</v>
      </c>
      <c r="Y22" s="145" t="str">
        <f t="shared" si="43"/>
        <v/>
      </c>
      <c r="Z22" s="118" t="s">
        <v>144</v>
      </c>
      <c r="AA22" s="119" t="str">
        <f t="shared" si="44"/>
        <v>40</v>
      </c>
      <c r="AB22" s="119" t="str">
        <f t="shared" si="44"/>
        <v>40</v>
      </c>
      <c r="AC22" s="119" t="str">
        <f t="shared" si="44"/>
        <v>40</v>
      </c>
      <c r="AE22" s="36">
        <f t="shared" si="39"/>
        <v>64</v>
      </c>
      <c r="AF22" s="36">
        <f t="shared" si="40"/>
        <v>64</v>
      </c>
      <c r="AG22" s="36">
        <f t="shared" si="41"/>
        <v>64</v>
      </c>
      <c r="AI22" s="135">
        <f t="shared" si="42"/>
        <v>-0.15000000000000002</v>
      </c>
      <c r="AJ22" s="117" t="b">
        <f t="shared" si="35"/>
        <v>1</v>
      </c>
      <c r="AK22" s="117">
        <f t="shared" si="36"/>
        <v>0</v>
      </c>
      <c r="AL22" s="117">
        <f t="shared" si="37"/>
        <v>0.85</v>
      </c>
      <c r="AM22">
        <f t="shared" si="38"/>
        <v>-0.15000000000000002</v>
      </c>
      <c r="AQ22" s="135"/>
      <c r="AR22" s="135"/>
      <c r="AS22" s="135"/>
      <c r="AT22" s="135"/>
      <c r="AU22" s="135"/>
      <c r="AW22" s="135"/>
    </row>
    <row r="23" spans="2:49" x14ac:dyDescent="0.3">
      <c r="B23" s="139">
        <v>10</v>
      </c>
      <c r="C23" s="161" t="str">
        <f t="shared" si="12"/>
        <v/>
      </c>
      <c r="D23" s="118" t="s">
        <v>157</v>
      </c>
      <c r="E23" s="119" t="str">
        <f t="shared" si="13"/>
        <v>00</v>
      </c>
      <c r="F23" s="119" t="str">
        <f t="shared" si="14"/>
        <v>00</v>
      </c>
      <c r="G23" s="119" t="str">
        <f t="shared" si="15"/>
        <v>4C</v>
      </c>
      <c r="I23" s="36">
        <f t="shared" si="29"/>
        <v>0</v>
      </c>
      <c r="J23" s="36">
        <f t="shared" si="30"/>
        <v>0</v>
      </c>
      <c r="K23" s="36">
        <f t="shared" si="31"/>
        <v>76</v>
      </c>
      <c r="L23" s="62">
        <f>L22+(N$17*O$17)</f>
        <v>-0.28000000000000003</v>
      </c>
      <c r="M23" s="62" t="b">
        <f t="shared" si="32"/>
        <v>1</v>
      </c>
      <c r="N23" s="62">
        <f t="shared" si="33"/>
        <v>0</v>
      </c>
      <c r="O23" s="62">
        <f t="shared" si="34"/>
        <v>0.72</v>
      </c>
      <c r="W23" s="120">
        <v>20</v>
      </c>
      <c r="X23" s="139">
        <v>220</v>
      </c>
      <c r="Y23" s="144" t="str">
        <f t="shared" si="43"/>
        <v/>
      </c>
      <c r="Z23" s="118" t="s">
        <v>143</v>
      </c>
      <c r="AA23" s="119" t="str">
        <f t="shared" si="44"/>
        <v>36</v>
      </c>
      <c r="AB23" s="119" t="str">
        <f t="shared" si="44"/>
        <v>36</v>
      </c>
      <c r="AC23" s="119" t="str">
        <f t="shared" si="44"/>
        <v>36</v>
      </c>
      <c r="AE23" s="36">
        <f t="shared" si="39"/>
        <v>54</v>
      </c>
      <c r="AF23" s="36">
        <f t="shared" si="40"/>
        <v>54</v>
      </c>
      <c r="AG23" s="36">
        <f t="shared" si="41"/>
        <v>54</v>
      </c>
      <c r="AI23" s="135">
        <f t="shared" si="42"/>
        <v>-0.16200000000000003</v>
      </c>
      <c r="AJ23" s="135" t="b">
        <f t="shared" si="35"/>
        <v>1</v>
      </c>
      <c r="AK23" s="135">
        <f t="shared" si="36"/>
        <v>0</v>
      </c>
      <c r="AL23" s="135">
        <f t="shared" si="37"/>
        <v>0.83799999999999997</v>
      </c>
      <c r="AM23">
        <f t="shared" si="38"/>
        <v>-0.16200000000000003</v>
      </c>
      <c r="AQ23" s="135"/>
      <c r="AR23" s="135"/>
      <c r="AS23" s="135"/>
      <c r="AT23" s="135"/>
      <c r="AU23" s="135"/>
      <c r="AW23" s="135"/>
    </row>
    <row r="24" spans="2:49" x14ac:dyDescent="0.3">
      <c r="W24" s="120">
        <v>21</v>
      </c>
      <c r="X24" s="139">
        <v>200</v>
      </c>
      <c r="Y24" s="147" t="str">
        <f t="shared" si="43"/>
        <v/>
      </c>
      <c r="Z24" s="118" t="s">
        <v>146</v>
      </c>
      <c r="AA24" s="119" t="str">
        <f t="shared" si="44"/>
        <v>2D</v>
      </c>
      <c r="AB24" s="119" t="str">
        <f t="shared" si="44"/>
        <v>2D</v>
      </c>
      <c r="AC24" s="119" t="str">
        <f t="shared" si="44"/>
        <v>2D</v>
      </c>
      <c r="AE24" s="36">
        <f t="shared" si="39"/>
        <v>45</v>
      </c>
      <c r="AF24" s="36">
        <f t="shared" si="40"/>
        <v>45</v>
      </c>
      <c r="AG24" s="36">
        <f t="shared" si="41"/>
        <v>45</v>
      </c>
      <c r="AI24" s="135">
        <f t="shared" si="42"/>
        <v>-0.17000000000000004</v>
      </c>
      <c r="AJ24" s="117" t="b">
        <f t="shared" si="35"/>
        <v>1</v>
      </c>
      <c r="AK24" s="117">
        <f t="shared" si="36"/>
        <v>0</v>
      </c>
      <c r="AL24" s="117">
        <f t="shared" si="37"/>
        <v>0.83</v>
      </c>
      <c r="AM24">
        <f t="shared" si="38"/>
        <v>-0.17000000000000004</v>
      </c>
      <c r="AQ24" s="135"/>
      <c r="AR24" s="135"/>
      <c r="AS24" s="135"/>
      <c r="AT24" s="135"/>
      <c r="AU24" s="135"/>
      <c r="AW24" s="135"/>
    </row>
    <row r="25" spans="2:49" x14ac:dyDescent="0.3">
      <c r="W25" s="120">
        <v>22</v>
      </c>
      <c r="X25" s="139">
        <v>150</v>
      </c>
      <c r="Y25" s="136" t="str">
        <f t="shared" si="43"/>
        <v/>
      </c>
      <c r="Z25" s="118" t="s">
        <v>138</v>
      </c>
      <c r="AA25" s="119" t="str">
        <f t="shared" si="44"/>
        <v>24</v>
      </c>
      <c r="AB25" s="119" t="str">
        <f t="shared" si="44"/>
        <v>24</v>
      </c>
      <c r="AC25" s="119" t="str">
        <f t="shared" si="44"/>
        <v>24</v>
      </c>
      <c r="AE25" s="36">
        <f t="shared" si="39"/>
        <v>36</v>
      </c>
      <c r="AF25" s="36">
        <f t="shared" si="40"/>
        <v>36</v>
      </c>
      <c r="AG25" s="36">
        <f t="shared" si="41"/>
        <v>36</v>
      </c>
      <c r="AI25" s="135">
        <f t="shared" si="42"/>
        <v>-0.19</v>
      </c>
      <c r="AJ25" s="135" t="b">
        <f t="shared" si="35"/>
        <v>1</v>
      </c>
      <c r="AK25" s="135">
        <f t="shared" si="36"/>
        <v>0</v>
      </c>
      <c r="AL25" s="135">
        <f t="shared" si="37"/>
        <v>0.81</v>
      </c>
      <c r="AM25">
        <f t="shared" si="38"/>
        <v>-0.19</v>
      </c>
      <c r="AQ25" s="135"/>
      <c r="AR25" s="135"/>
      <c r="AS25" s="135"/>
      <c r="AT25" s="135"/>
      <c r="AU25" s="135"/>
      <c r="AW25" s="135"/>
    </row>
    <row r="26" spans="2:49" x14ac:dyDescent="0.3">
      <c r="W26" s="120">
        <v>23</v>
      </c>
      <c r="X26" s="139">
        <v>100</v>
      </c>
      <c r="Y26" s="146" t="str">
        <f t="shared" si="43"/>
        <v/>
      </c>
      <c r="Z26" s="118" t="s">
        <v>145</v>
      </c>
      <c r="AA26" s="119" t="str">
        <f t="shared" si="44"/>
        <v>1C</v>
      </c>
      <c r="AB26" s="119" t="str">
        <f t="shared" si="44"/>
        <v>1C</v>
      </c>
      <c r="AC26" s="119" t="str">
        <f t="shared" si="44"/>
        <v>1C</v>
      </c>
      <c r="AE26" s="36">
        <f t="shared" si="39"/>
        <v>28</v>
      </c>
      <c r="AF26" s="36">
        <f t="shared" si="40"/>
        <v>28</v>
      </c>
      <c r="AG26" s="36">
        <f t="shared" si="41"/>
        <v>28</v>
      </c>
      <c r="AI26" s="135">
        <f t="shared" si="42"/>
        <v>-0.21000000000000002</v>
      </c>
      <c r="AJ26" s="117" t="b">
        <f t="shared" si="35"/>
        <v>1</v>
      </c>
      <c r="AK26" s="117">
        <f t="shared" si="36"/>
        <v>0</v>
      </c>
      <c r="AL26" s="117">
        <f t="shared" si="37"/>
        <v>0.79</v>
      </c>
      <c r="AM26">
        <f t="shared" si="38"/>
        <v>-0.21000000000000002</v>
      </c>
      <c r="AQ26" s="135"/>
      <c r="AR26" s="135"/>
      <c r="AS26" s="135"/>
      <c r="AT26" s="135"/>
      <c r="AU26" s="135"/>
      <c r="AW26" s="135"/>
    </row>
    <row r="27" spans="2:49" x14ac:dyDescent="0.3">
      <c r="W27" s="120">
        <v>24</v>
      </c>
      <c r="X27" s="139">
        <v>50</v>
      </c>
      <c r="Y27" s="148" t="str">
        <f t="shared" si="43"/>
        <v/>
      </c>
      <c r="Z27" s="118" t="s">
        <v>147</v>
      </c>
      <c r="AA27" s="119" t="str">
        <f t="shared" ref="AA27:AC28" si="45">IF(AE27&lt;16,"0","")&amp;DEC2HEX(AE27)</f>
        <v>16</v>
      </c>
      <c r="AB27" s="119" t="str">
        <f t="shared" si="45"/>
        <v>16</v>
      </c>
      <c r="AC27" s="119" t="str">
        <f t="shared" si="45"/>
        <v>16</v>
      </c>
      <c r="AE27" s="36">
        <f t="shared" si="39"/>
        <v>22</v>
      </c>
      <c r="AF27" s="36">
        <f t="shared" si="40"/>
        <v>22</v>
      </c>
      <c r="AG27" s="36">
        <f t="shared" si="41"/>
        <v>22</v>
      </c>
      <c r="AI27" s="135">
        <f t="shared" si="42"/>
        <v>-0.23000000000000004</v>
      </c>
      <c r="AJ27" s="117" t="b">
        <f t="shared" si="35"/>
        <v>1</v>
      </c>
      <c r="AK27" s="117">
        <f t="shared" si="36"/>
        <v>0</v>
      </c>
      <c r="AL27" s="117">
        <f t="shared" si="37"/>
        <v>0.77</v>
      </c>
      <c r="AM27">
        <f t="shared" si="38"/>
        <v>-0.23000000000000004</v>
      </c>
      <c r="AQ27" s="135"/>
      <c r="AR27" s="135"/>
      <c r="AS27" s="135"/>
      <c r="AT27" s="135"/>
      <c r="AU27" s="135"/>
      <c r="AW27" s="135"/>
    </row>
    <row r="28" spans="2:49" x14ac:dyDescent="0.3">
      <c r="W28" s="120">
        <v>25</v>
      </c>
      <c r="X28" s="139">
        <v>10</v>
      </c>
      <c r="Y28" s="149" t="str">
        <f t="shared" si="43"/>
        <v/>
      </c>
      <c r="Z28" s="118" t="s">
        <v>148</v>
      </c>
      <c r="AA28" s="119" t="str">
        <f t="shared" si="45"/>
        <v>11</v>
      </c>
      <c r="AB28" s="119" t="str">
        <f t="shared" si="45"/>
        <v>11</v>
      </c>
      <c r="AC28" s="119" t="str">
        <f t="shared" si="45"/>
        <v>11</v>
      </c>
      <c r="AE28" s="36">
        <f t="shared" si="39"/>
        <v>17</v>
      </c>
      <c r="AF28" s="36">
        <f t="shared" si="40"/>
        <v>17</v>
      </c>
      <c r="AG28" s="36">
        <f t="shared" si="41"/>
        <v>17</v>
      </c>
      <c r="AI28" s="135">
        <f t="shared" si="42"/>
        <v>-0.24600000000000005</v>
      </c>
      <c r="AJ28" s="117" t="b">
        <f t="shared" si="35"/>
        <v>1</v>
      </c>
      <c r="AK28" s="117">
        <f t="shared" si="36"/>
        <v>0</v>
      </c>
      <c r="AL28" s="117">
        <f t="shared" si="37"/>
        <v>0.754</v>
      </c>
      <c r="AM28">
        <f t="shared" si="38"/>
        <v>-0.24600000000000005</v>
      </c>
      <c r="AQ28" s="135"/>
      <c r="AR28" s="135"/>
      <c r="AS28" s="135"/>
      <c r="AT28" s="135"/>
      <c r="AU28" s="135"/>
      <c r="AW28" s="135"/>
    </row>
    <row r="29" spans="2:49" x14ac:dyDescent="0.3">
      <c r="AQ29" s="135"/>
      <c r="AR29" s="135"/>
      <c r="AS29" s="135"/>
      <c r="AT29" s="135"/>
      <c r="AU29" s="135"/>
      <c r="AW29" s="135"/>
    </row>
    <row r="33" spans="1:23" x14ac:dyDescent="0.3">
      <c r="A33" s="33" t="s">
        <v>38</v>
      </c>
      <c r="K33" s="34"/>
    </row>
    <row r="34" spans="1:23" x14ac:dyDescent="0.3">
      <c r="A34" s="33" t="s">
        <v>39</v>
      </c>
      <c r="K34" s="34"/>
    </row>
    <row r="36" spans="1:23" x14ac:dyDescent="0.3">
      <c r="A36" t="s">
        <v>92</v>
      </c>
      <c r="B36" s="61"/>
      <c r="C36" s="35" t="s">
        <v>64</v>
      </c>
      <c r="D36" s="62">
        <v>0.45</v>
      </c>
      <c r="E36" s="151" t="b">
        <f>(D36&lt;0)</f>
        <v>0</v>
      </c>
      <c r="F36" s="151"/>
      <c r="G36" s="151">
        <f>IF(E36,0,255*D36)</f>
        <v>114.75</v>
      </c>
      <c r="H36" s="151"/>
      <c r="I36" s="151">
        <f>IF(E36,1+D36,1-D36)</f>
        <v>0.55000000000000004</v>
      </c>
      <c r="J36" s="151"/>
      <c r="M36" s="61"/>
      <c r="N36" s="35" t="s">
        <v>64</v>
      </c>
      <c r="O36" s="62">
        <v>0.45</v>
      </c>
      <c r="P36" s="151" t="b">
        <f>(O36&lt;0)</f>
        <v>0</v>
      </c>
      <c r="Q36" s="151"/>
      <c r="R36" s="151">
        <f>IF(P36,0,255*O36)</f>
        <v>114.75</v>
      </c>
      <c r="S36" s="151"/>
      <c r="T36" s="151">
        <f>IF(P36,1+O36,1-O36)</f>
        <v>0.55000000000000004</v>
      </c>
      <c r="U36" s="151"/>
    </row>
    <row r="37" spans="1:23" x14ac:dyDescent="0.3">
      <c r="A37" t="s">
        <v>105</v>
      </c>
      <c r="B37" s="63"/>
      <c r="C37" s="35" t="s">
        <v>65</v>
      </c>
      <c r="D37" s="62">
        <v>-0.14000000000000001</v>
      </c>
      <c r="E37" s="151" t="b">
        <f>(D37&lt;0)</f>
        <v>1</v>
      </c>
      <c r="F37" s="151"/>
      <c r="G37" s="151">
        <f>IF(E37,0,255*D37)</f>
        <v>0</v>
      </c>
      <c r="H37" s="151"/>
      <c r="I37" s="151">
        <f>IF(E37,1+D37,1-D37)</f>
        <v>0.86</v>
      </c>
      <c r="J37" s="151"/>
      <c r="M37" s="63"/>
      <c r="N37" s="35" t="s">
        <v>65</v>
      </c>
      <c r="O37" s="62">
        <v>-0.14000000000000001</v>
      </c>
      <c r="P37" s="151" t="b">
        <f>(O37&lt;0)</f>
        <v>1</v>
      </c>
      <c r="Q37" s="151"/>
      <c r="R37" s="151">
        <f>IF(P37,0,255*O37)</f>
        <v>0</v>
      </c>
      <c r="S37" s="151"/>
      <c r="T37" s="151">
        <f>IF(P37,1+O37,1-O37)</f>
        <v>0.86</v>
      </c>
      <c r="U37" s="151"/>
    </row>
    <row r="38" spans="1:23" x14ac:dyDescent="0.3">
      <c r="B38" s="14">
        <v>950</v>
      </c>
      <c r="C38" s="46" t="str">
        <f t="shared" ref="C38:C50" si="46">SetIt(C38, E38, G38, I38, "#" &amp; _xlfn.CONCAT(E38,G38,I38))</f>
        <v/>
      </c>
      <c r="D38" t="s">
        <v>50</v>
      </c>
      <c r="E38" s="48" t="str">
        <f t="shared" ref="E38:E45" si="47">IF(F38&lt;16,"0","")&amp;DEC2HEX(F38)</f>
        <v>FF</v>
      </c>
      <c r="F38" s="36">
        <f>ROUND(F39*I36+G36,0)</f>
        <v>255</v>
      </c>
      <c r="G38" s="48" t="str">
        <f t="shared" ref="G38:G45" si="48">IF(H38&lt;16,"0","")&amp;DEC2HEX(H38)</f>
        <v>F8</v>
      </c>
      <c r="H38" s="36">
        <f>ROUND(H39*I36+G36,0)</f>
        <v>248</v>
      </c>
      <c r="I38" s="48" t="str">
        <f t="shared" ref="I38:I45" si="49">IF(J38&lt;16,"0","")&amp;DEC2HEX(J38)</f>
        <v>F8</v>
      </c>
      <c r="J38" s="36">
        <f>ROUND(J39*I36+G36,0)</f>
        <v>248</v>
      </c>
      <c r="K38" s="36"/>
      <c r="M38" s="14">
        <v>950</v>
      </c>
      <c r="N38" s="59" t="str">
        <f t="shared" ref="N38:N50" si="50">SetIt(N38, P38, R38, T38, "#" &amp; _xlfn.CONCAT(P38,R38,T38))</f>
        <v/>
      </c>
      <c r="O38" t="s">
        <v>62</v>
      </c>
      <c r="P38" s="48" t="str">
        <f t="shared" ref="P38:P50" si="51">IF(Q38&lt;16,"0","")&amp;DEC2HEX(Q38)</f>
        <v>F8</v>
      </c>
      <c r="Q38" s="36">
        <f>ROUND(Q39*T36+R36,0)</f>
        <v>248</v>
      </c>
      <c r="R38" s="48" t="str">
        <f t="shared" ref="R38:R50" si="52">IF(S38&lt;16,"0","")&amp;DEC2HEX(S38)</f>
        <v>F8</v>
      </c>
      <c r="S38" s="36">
        <f>ROUND(S39*T36+R36,0)</f>
        <v>248</v>
      </c>
      <c r="T38" s="48" t="str">
        <f t="shared" ref="T38:T50" si="53">IF(U38&lt;16,"0","")&amp;DEC2HEX(U38)</f>
        <v>FF</v>
      </c>
      <c r="U38" s="36">
        <f>ROUND(U39*T36+R36,0)</f>
        <v>255</v>
      </c>
    </row>
    <row r="39" spans="1:23" x14ac:dyDescent="0.3">
      <c r="B39" s="14">
        <v>900</v>
      </c>
      <c r="C39" s="45" t="str">
        <f t="shared" si="46"/>
        <v/>
      </c>
      <c r="D39" t="s">
        <v>49</v>
      </c>
      <c r="E39" s="48" t="str">
        <f t="shared" si="47"/>
        <v>FF</v>
      </c>
      <c r="F39" s="36">
        <f>ROUND(F40*I36+G36,0)</f>
        <v>255</v>
      </c>
      <c r="G39" s="48" t="str">
        <f t="shared" si="48"/>
        <v>F2</v>
      </c>
      <c r="H39" s="36">
        <f>ROUND(H40*I36+G36,0)</f>
        <v>242</v>
      </c>
      <c r="I39" s="48" t="str">
        <f t="shared" si="49"/>
        <v>F2</v>
      </c>
      <c r="J39" s="36">
        <f>ROUND(J40*I36+G36,0)</f>
        <v>242</v>
      </c>
      <c r="K39" s="36"/>
      <c r="M39" s="14">
        <v>900</v>
      </c>
      <c r="N39" s="60" t="str">
        <f t="shared" si="50"/>
        <v/>
      </c>
      <c r="O39" t="s">
        <v>63</v>
      </c>
      <c r="P39" s="48" t="str">
        <f t="shared" si="51"/>
        <v>F2</v>
      </c>
      <c r="Q39" s="36">
        <f>ROUND(Q40*T36+R36,0)</f>
        <v>242</v>
      </c>
      <c r="R39" s="48" t="str">
        <f t="shared" si="52"/>
        <v>F2</v>
      </c>
      <c r="S39" s="36">
        <f>ROUND(S40*T36+R36,0)</f>
        <v>242</v>
      </c>
      <c r="T39" s="48" t="str">
        <f t="shared" si="53"/>
        <v>FF</v>
      </c>
      <c r="U39" s="36">
        <f>ROUND(U40*T36+R36,0)</f>
        <v>255</v>
      </c>
    </row>
    <row r="40" spans="1:23" x14ac:dyDescent="0.3">
      <c r="B40" s="14">
        <v>800</v>
      </c>
      <c r="C40" s="44" t="str">
        <f t="shared" si="46"/>
        <v/>
      </c>
      <c r="D40" t="s">
        <v>48</v>
      </c>
      <c r="E40" s="48" t="str">
        <f t="shared" si="47"/>
        <v>FF</v>
      </c>
      <c r="F40" s="36">
        <f>ROUND(F41*I36+G36,0)</f>
        <v>255</v>
      </c>
      <c r="G40" s="48" t="str">
        <f t="shared" si="48"/>
        <v>E8</v>
      </c>
      <c r="H40" s="36">
        <f>ROUND(H41*I36+G36,0)</f>
        <v>232</v>
      </c>
      <c r="I40" s="48" t="str">
        <f t="shared" si="49"/>
        <v>E8</v>
      </c>
      <c r="J40" s="36">
        <f>ROUND(J41*I36+G36,0)</f>
        <v>232</v>
      </c>
      <c r="K40" s="36"/>
      <c r="M40" s="14">
        <v>800</v>
      </c>
      <c r="N40" s="57" t="str">
        <f t="shared" si="50"/>
        <v/>
      </c>
      <c r="O40" t="s">
        <v>60</v>
      </c>
      <c r="P40" s="48" t="str">
        <f t="shared" si="51"/>
        <v>E8</v>
      </c>
      <c r="Q40" s="36">
        <f>ROUND(Q41*T36+R36,0)</f>
        <v>232</v>
      </c>
      <c r="R40" s="48" t="str">
        <f t="shared" si="52"/>
        <v>E8</v>
      </c>
      <c r="S40" s="36">
        <f>ROUND(S41*T36+R36,0)</f>
        <v>232</v>
      </c>
      <c r="T40" s="48" t="str">
        <f t="shared" si="53"/>
        <v>FF</v>
      </c>
      <c r="U40" s="36">
        <f>ROUND(U41*T36+R36,0)</f>
        <v>255</v>
      </c>
    </row>
    <row r="41" spans="1:23" x14ac:dyDescent="0.3">
      <c r="B41" s="14">
        <v>700</v>
      </c>
      <c r="C41" s="43" t="str">
        <f t="shared" si="46"/>
        <v/>
      </c>
      <c r="D41" t="s">
        <v>47</v>
      </c>
      <c r="E41" s="48" t="str">
        <f t="shared" si="47"/>
        <v>FF</v>
      </c>
      <c r="F41" s="36">
        <f>ROUND(F42*I36+G36,0)</f>
        <v>255</v>
      </c>
      <c r="G41" s="48" t="str">
        <f t="shared" si="48"/>
        <v>D5</v>
      </c>
      <c r="H41" s="36">
        <f>ROUND(H42*I36+G36,0)</f>
        <v>213</v>
      </c>
      <c r="I41" s="48" t="str">
        <f t="shared" si="49"/>
        <v>D5</v>
      </c>
      <c r="J41" s="36">
        <f>ROUND(J42*I36+G36,0)</f>
        <v>213</v>
      </c>
      <c r="K41" s="36"/>
      <c r="M41" s="14">
        <v>700</v>
      </c>
      <c r="N41" s="54" t="str">
        <f t="shared" si="50"/>
        <v/>
      </c>
      <c r="O41" t="s">
        <v>57</v>
      </c>
      <c r="P41" s="48" t="str">
        <f t="shared" si="51"/>
        <v>D5</v>
      </c>
      <c r="Q41" s="36">
        <f>ROUND(Q42*T36+R36,0)</f>
        <v>213</v>
      </c>
      <c r="R41" s="48" t="str">
        <f t="shared" si="52"/>
        <v>D5</v>
      </c>
      <c r="S41" s="36">
        <f>ROUND(S42*T36+R36,0)</f>
        <v>213</v>
      </c>
      <c r="T41" s="48" t="str">
        <f t="shared" si="53"/>
        <v>FF</v>
      </c>
      <c r="U41" s="36">
        <f>ROUND(U42*T36+R36,0)</f>
        <v>255</v>
      </c>
    </row>
    <row r="42" spans="1:23" x14ac:dyDescent="0.3">
      <c r="B42" s="14">
        <v>600</v>
      </c>
      <c r="C42" s="42" t="str">
        <f t="shared" si="46"/>
        <v/>
      </c>
      <c r="D42" t="s">
        <v>46</v>
      </c>
      <c r="E42" s="48" t="str">
        <f t="shared" si="47"/>
        <v>FF</v>
      </c>
      <c r="F42" s="36">
        <f>ROUND(F43*I36+G36,0)</f>
        <v>255</v>
      </c>
      <c r="G42" s="48" t="str">
        <f t="shared" si="48"/>
        <v>B2</v>
      </c>
      <c r="H42" s="36">
        <f>ROUND(H43*I36+G36,0)</f>
        <v>178</v>
      </c>
      <c r="I42" s="48" t="str">
        <f t="shared" si="49"/>
        <v>B2</v>
      </c>
      <c r="J42" s="36">
        <f>ROUND(J43*I36+G36,0)</f>
        <v>178</v>
      </c>
      <c r="K42" s="36"/>
      <c r="M42" s="14">
        <v>600</v>
      </c>
      <c r="N42" s="51" t="str">
        <f t="shared" si="50"/>
        <v/>
      </c>
      <c r="O42" t="s">
        <v>54</v>
      </c>
      <c r="P42" s="48" t="str">
        <f t="shared" si="51"/>
        <v>B2</v>
      </c>
      <c r="Q42" s="36">
        <f>ROUND(Q43*T36+R36,0)</f>
        <v>178</v>
      </c>
      <c r="R42" s="48" t="str">
        <f t="shared" si="52"/>
        <v>B2</v>
      </c>
      <c r="S42" s="36">
        <f>ROUND(S43*T36+R36,0)</f>
        <v>178</v>
      </c>
      <c r="T42" s="48" t="str">
        <f t="shared" si="53"/>
        <v>FF</v>
      </c>
      <c r="U42" s="36">
        <f>ROUND(U43*T36+R36,0)</f>
        <v>255</v>
      </c>
    </row>
    <row r="43" spans="1:23" ht="15" thickBot="1" x14ac:dyDescent="0.35">
      <c r="A43" t="s">
        <v>117</v>
      </c>
      <c r="B43" s="14">
        <v>500</v>
      </c>
      <c r="C43" s="41" t="str">
        <f t="shared" si="46"/>
        <v/>
      </c>
      <c r="D43" t="s">
        <v>45</v>
      </c>
      <c r="E43" s="48" t="str">
        <f t="shared" si="47"/>
        <v>FF</v>
      </c>
      <c r="F43" s="36">
        <f>ROUND(F44*I36+G36,0)</f>
        <v>255</v>
      </c>
      <c r="G43" s="48" t="str">
        <f t="shared" si="48"/>
        <v>73</v>
      </c>
      <c r="H43" s="36">
        <f>ROUND(H44*I36+G36,0)</f>
        <v>115</v>
      </c>
      <c r="I43" s="48" t="str">
        <f t="shared" si="49"/>
        <v>73</v>
      </c>
      <c r="J43" s="36">
        <f>ROUND(J44*I36+G36,0)</f>
        <v>115</v>
      </c>
      <c r="K43" s="36"/>
      <c r="M43" s="14">
        <v>500</v>
      </c>
      <c r="N43" s="49" t="str">
        <f t="shared" si="50"/>
        <v/>
      </c>
      <c r="O43" t="s">
        <v>52</v>
      </c>
      <c r="P43" s="48" t="str">
        <f t="shared" si="51"/>
        <v>73</v>
      </c>
      <c r="Q43" s="36">
        <f>ROUND(Q44*T36+R36,0)</f>
        <v>115</v>
      </c>
      <c r="R43" s="48" t="str">
        <f t="shared" si="52"/>
        <v>73</v>
      </c>
      <c r="S43" s="36">
        <f>ROUND(S44*T36+R36,0)</f>
        <v>115</v>
      </c>
      <c r="T43" s="48" t="str">
        <f t="shared" si="53"/>
        <v>FF</v>
      </c>
      <c r="U43" s="36">
        <f>ROUND(U44*T36+R36,0)</f>
        <v>255</v>
      </c>
      <c r="V43" s="36"/>
    </row>
    <row r="44" spans="1:23" ht="15.6" thickTop="1" thickBot="1" x14ac:dyDescent="0.35">
      <c r="A44" s="104" t="s">
        <v>40</v>
      </c>
      <c r="B44" s="102">
        <v>450</v>
      </c>
      <c r="C44" s="107" t="str">
        <f t="shared" si="46"/>
        <v/>
      </c>
      <c r="D44" s="104" t="s">
        <v>7</v>
      </c>
      <c r="E44" s="105" t="str">
        <f t="shared" si="47"/>
        <v>FF</v>
      </c>
      <c r="F44" s="106">
        <v>255</v>
      </c>
      <c r="G44" s="105" t="str">
        <f t="shared" si="48"/>
        <v>00</v>
      </c>
      <c r="H44" s="106">
        <v>0</v>
      </c>
      <c r="I44" s="105" t="str">
        <f t="shared" si="49"/>
        <v>00</v>
      </c>
      <c r="J44" s="106">
        <v>0</v>
      </c>
      <c r="K44" s="106"/>
      <c r="L44" s="104"/>
      <c r="M44" s="102">
        <v>450</v>
      </c>
      <c r="N44" s="103" t="str">
        <f t="shared" si="50"/>
        <v/>
      </c>
      <c r="O44" s="104" t="s">
        <v>20</v>
      </c>
      <c r="P44" s="105" t="str">
        <f t="shared" si="51"/>
        <v>00</v>
      </c>
      <c r="Q44" s="106">
        <v>0</v>
      </c>
      <c r="R44" s="105" t="str">
        <f t="shared" si="52"/>
        <v>00</v>
      </c>
      <c r="S44" s="106">
        <v>0</v>
      </c>
      <c r="T44" s="105" t="str">
        <f t="shared" si="53"/>
        <v>FF</v>
      </c>
      <c r="U44" s="106">
        <v>255</v>
      </c>
      <c r="V44" s="106"/>
      <c r="W44" s="104"/>
    </row>
    <row r="45" spans="1:23" ht="15" thickTop="1" x14ac:dyDescent="0.3">
      <c r="A45" t="s">
        <v>118</v>
      </c>
      <c r="B45" s="14">
        <v>400</v>
      </c>
      <c r="C45" s="37" t="str">
        <f t="shared" si="46"/>
        <v/>
      </c>
      <c r="D45" t="s">
        <v>41</v>
      </c>
      <c r="E45" s="48" t="str">
        <f t="shared" si="47"/>
        <v>DB</v>
      </c>
      <c r="F45" s="36">
        <f>ROUND(F44*I37+G37,0)</f>
        <v>219</v>
      </c>
      <c r="G45" s="48" t="str">
        <f t="shared" si="48"/>
        <v>00</v>
      </c>
      <c r="H45" s="36">
        <f>ROUND(H44*I37+G37,0)</f>
        <v>0</v>
      </c>
      <c r="I45" s="48" t="str">
        <f t="shared" si="49"/>
        <v>00</v>
      </c>
      <c r="J45" s="36">
        <f>ROUND(J44*I37+G37,0)</f>
        <v>0</v>
      </c>
      <c r="K45" s="36"/>
      <c r="M45" s="14">
        <v>400</v>
      </c>
      <c r="N45" s="50" t="str">
        <f t="shared" si="50"/>
        <v/>
      </c>
      <c r="O45" t="s">
        <v>53</v>
      </c>
      <c r="P45" s="48" t="str">
        <f t="shared" si="51"/>
        <v>00</v>
      </c>
      <c r="Q45" s="36">
        <f>ROUND(Q44*T37+R37,0)</f>
        <v>0</v>
      </c>
      <c r="R45" s="48" t="str">
        <f t="shared" si="52"/>
        <v>00</v>
      </c>
      <c r="S45" s="36">
        <f>ROUND(S44*T37+R37,0)</f>
        <v>0</v>
      </c>
      <c r="T45" s="48" t="str">
        <f t="shared" si="53"/>
        <v>DB</v>
      </c>
      <c r="U45" s="36">
        <f>ROUND(U44*T37+R37,0)</f>
        <v>219</v>
      </c>
      <c r="V45" s="36"/>
    </row>
    <row r="46" spans="1:23" x14ac:dyDescent="0.3">
      <c r="B46" s="14">
        <v>300</v>
      </c>
      <c r="C46" s="38" t="str">
        <f t="shared" si="46"/>
        <v/>
      </c>
      <c r="D46" t="s">
        <v>42</v>
      </c>
      <c r="E46" s="48" t="str">
        <f>IF(F46&lt;16,"0","")&amp;DEC2HEX(F46)</f>
        <v>BC</v>
      </c>
      <c r="F46" s="36">
        <f>ROUND(F45*I37+G37,0)</f>
        <v>188</v>
      </c>
      <c r="G46" s="48" t="str">
        <f>IF(H46&lt;16,"0","")&amp;DEC2HEX(H46)</f>
        <v>00</v>
      </c>
      <c r="H46" s="36">
        <f>ROUND(H45*I37+G37,0)</f>
        <v>0</v>
      </c>
      <c r="I46" s="48" t="str">
        <f>IF(J46&lt;16,"0","")&amp;DEC2HEX(J46)</f>
        <v>00</v>
      </c>
      <c r="J46" s="36">
        <f>ROUND(J45*I37+G37,0)</f>
        <v>0</v>
      </c>
      <c r="K46" s="36"/>
      <c r="M46" s="14">
        <v>300</v>
      </c>
      <c r="N46" s="52" t="str">
        <f t="shared" si="50"/>
        <v/>
      </c>
      <c r="O46" t="s">
        <v>55</v>
      </c>
      <c r="P46" s="48" t="str">
        <f t="shared" si="51"/>
        <v>00</v>
      </c>
      <c r="Q46" s="36">
        <f>ROUND(Q45*T37+R37,0)</f>
        <v>0</v>
      </c>
      <c r="R46" s="48" t="str">
        <f t="shared" si="52"/>
        <v>00</v>
      </c>
      <c r="S46" s="36">
        <f>ROUND(S45*T37+R37,0)</f>
        <v>0</v>
      </c>
      <c r="T46" s="48" t="str">
        <f t="shared" si="53"/>
        <v>BC</v>
      </c>
      <c r="U46" s="36">
        <f>ROUND(U45*T37+R37,0)</f>
        <v>188</v>
      </c>
    </row>
    <row r="47" spans="1:23" x14ac:dyDescent="0.3">
      <c r="B47" s="14">
        <v>200</v>
      </c>
      <c r="C47" s="39" t="str">
        <f t="shared" si="46"/>
        <v/>
      </c>
      <c r="D47" t="s">
        <v>43</v>
      </c>
      <c r="E47" s="48" t="str">
        <f>IF(F47&lt;16,"0","")&amp;DEC2HEX(F47)</f>
        <v>A2</v>
      </c>
      <c r="F47" s="36">
        <f>ROUND(F46*I37+G37,0)</f>
        <v>162</v>
      </c>
      <c r="G47" s="48" t="str">
        <f>IF(H47&lt;16,"0","")&amp;DEC2HEX(H47)</f>
        <v>00</v>
      </c>
      <c r="H47" s="36">
        <f>ROUND(H46*I37+G37,0)</f>
        <v>0</v>
      </c>
      <c r="I47" s="48" t="str">
        <f>IF(J47&lt;16,"0","")&amp;DEC2HEX(J47)</f>
        <v>00</v>
      </c>
      <c r="J47" s="36">
        <f>ROUND(J46*I37+G37,0)</f>
        <v>0</v>
      </c>
      <c r="K47" s="36"/>
      <c r="M47" s="14">
        <v>200</v>
      </c>
      <c r="N47" s="53" t="str">
        <f t="shared" si="50"/>
        <v/>
      </c>
      <c r="O47" t="s">
        <v>56</v>
      </c>
      <c r="P47" s="48" t="str">
        <f t="shared" si="51"/>
        <v>00</v>
      </c>
      <c r="Q47" s="36">
        <f>ROUND(Q46*T37+R37,0)</f>
        <v>0</v>
      </c>
      <c r="R47" s="48" t="str">
        <f t="shared" si="52"/>
        <v>00</v>
      </c>
      <c r="S47" s="36">
        <f>ROUND(S46*T37+R37,0)</f>
        <v>0</v>
      </c>
      <c r="T47" s="48" t="str">
        <f t="shared" si="53"/>
        <v>A2</v>
      </c>
      <c r="U47" s="36">
        <f>ROUND(U46*T37+R37,0)</f>
        <v>162</v>
      </c>
    </row>
    <row r="48" spans="1:23" x14ac:dyDescent="0.3">
      <c r="B48" s="14">
        <v>100</v>
      </c>
      <c r="C48" s="40" t="str">
        <f t="shared" si="46"/>
        <v/>
      </c>
      <c r="D48" t="s">
        <v>44</v>
      </c>
      <c r="E48" s="48" t="str">
        <f>IF(F48&lt;16,"0","")&amp;DEC2HEX(F48)</f>
        <v>8B</v>
      </c>
      <c r="F48" s="36">
        <f>ROUND(F47*I37+G37,0)</f>
        <v>139</v>
      </c>
      <c r="G48" s="48" t="str">
        <f>IF(H48&lt;16,"0","")&amp;DEC2HEX(H48)</f>
        <v>00</v>
      </c>
      <c r="H48" s="36">
        <f>ROUND(H47*I37+G37,0)</f>
        <v>0</v>
      </c>
      <c r="I48" s="48" t="str">
        <f>IF(J48&lt;16,"0","")&amp;DEC2HEX(J48)</f>
        <v>00</v>
      </c>
      <c r="J48" s="36">
        <f>ROUND(J47*I37+G37,0)</f>
        <v>0</v>
      </c>
      <c r="K48" s="36"/>
      <c r="M48" s="14">
        <v>100</v>
      </c>
      <c r="N48" s="55" t="str">
        <f t="shared" si="50"/>
        <v/>
      </c>
      <c r="O48" t="s">
        <v>58</v>
      </c>
      <c r="P48" s="48" t="str">
        <f t="shared" si="51"/>
        <v>00</v>
      </c>
      <c r="Q48" s="36">
        <f>ROUND(Q47*T37+R37,0)</f>
        <v>0</v>
      </c>
      <c r="R48" s="48" t="str">
        <f t="shared" si="52"/>
        <v>00</v>
      </c>
      <c r="S48" s="36">
        <f>ROUND(S47*T37+R37,0)</f>
        <v>0</v>
      </c>
      <c r="T48" s="48" t="str">
        <f t="shared" si="53"/>
        <v>8B</v>
      </c>
      <c r="U48" s="36">
        <f>ROUND(U47*T37+R37,0)</f>
        <v>139</v>
      </c>
    </row>
    <row r="49" spans="1:39" x14ac:dyDescent="0.3">
      <c r="B49" s="14">
        <v>50</v>
      </c>
      <c r="C49" s="15" t="str">
        <f t="shared" si="46"/>
        <v/>
      </c>
      <c r="D49" t="s">
        <v>19</v>
      </c>
      <c r="E49" s="48" t="str">
        <f>IF(F49&lt;16,"0","")&amp;DEC2HEX(F49)</f>
        <v>78</v>
      </c>
      <c r="F49" s="36">
        <f>ROUND(F48*I37+G37,0)</f>
        <v>120</v>
      </c>
      <c r="G49" s="48" t="str">
        <f>IF(H49&lt;16,"0","")&amp;DEC2HEX(H49)</f>
        <v>00</v>
      </c>
      <c r="H49" s="36">
        <f>ROUND(H48*I37+G37,0)</f>
        <v>0</v>
      </c>
      <c r="I49" s="48" t="str">
        <f>IF(J49&lt;16,"0","")&amp;DEC2HEX(J49)</f>
        <v>00</v>
      </c>
      <c r="J49" s="36">
        <f>ROUND(J48*I37+G37,0)</f>
        <v>0</v>
      </c>
      <c r="K49" s="36"/>
      <c r="M49" s="14">
        <v>50</v>
      </c>
      <c r="N49" s="58" t="str">
        <f t="shared" si="50"/>
        <v/>
      </c>
      <c r="O49" t="s">
        <v>61</v>
      </c>
      <c r="P49" s="48" t="str">
        <f t="shared" si="51"/>
        <v>00</v>
      </c>
      <c r="Q49" s="36">
        <f>ROUND(Q48*T37+R37,0)</f>
        <v>0</v>
      </c>
      <c r="R49" s="48" t="str">
        <f t="shared" si="52"/>
        <v>00</v>
      </c>
      <c r="S49" s="36">
        <f>ROUND(S48*T37+R37,0)</f>
        <v>0</v>
      </c>
      <c r="T49" s="48" t="str">
        <f t="shared" si="53"/>
        <v>78</v>
      </c>
      <c r="U49" s="36">
        <f>ROUND(U48*T37+R37,0)</f>
        <v>120</v>
      </c>
    </row>
    <row r="50" spans="1:39" x14ac:dyDescent="0.3">
      <c r="B50" s="14">
        <v>10</v>
      </c>
      <c r="C50" s="47" t="str">
        <f t="shared" si="46"/>
        <v/>
      </c>
      <c r="D50" t="s">
        <v>51</v>
      </c>
      <c r="E50" s="48" t="str">
        <f>IF(F50&lt;16,"0","")&amp;DEC2HEX(F50)</f>
        <v>67</v>
      </c>
      <c r="F50" s="36">
        <f>ROUND(F49*I37+G37,0)</f>
        <v>103</v>
      </c>
      <c r="G50" s="48" t="str">
        <f>IF(H50&lt;16,"0","")&amp;DEC2HEX(H50)</f>
        <v>00</v>
      </c>
      <c r="H50" s="36">
        <f>ROUND(H49*I37+G37,0)</f>
        <v>0</v>
      </c>
      <c r="I50" s="48" t="str">
        <f>IF(J50&lt;16,"0","")&amp;DEC2HEX(J50)</f>
        <v>00</v>
      </c>
      <c r="J50" s="36">
        <f>ROUND(J49*I37+G37,0)</f>
        <v>0</v>
      </c>
      <c r="K50" s="36"/>
      <c r="M50" s="14">
        <v>10</v>
      </c>
      <c r="N50" s="56" t="str">
        <f t="shared" si="50"/>
        <v/>
      </c>
      <c r="O50" t="s">
        <v>59</v>
      </c>
      <c r="P50" s="48" t="str">
        <f t="shared" si="51"/>
        <v>00</v>
      </c>
      <c r="Q50" s="36">
        <f>ROUND(Q49*T37+R37,0)</f>
        <v>0</v>
      </c>
      <c r="R50" s="48" t="str">
        <f t="shared" si="52"/>
        <v>00</v>
      </c>
      <c r="S50" s="36">
        <f>ROUND(S49*T37+R37,0)</f>
        <v>0</v>
      </c>
      <c r="T50" s="48" t="str">
        <f t="shared" si="53"/>
        <v>67</v>
      </c>
      <c r="U50" s="36">
        <f>ROUND(U49*T37+R37,0)</f>
        <v>103</v>
      </c>
    </row>
    <row r="53" spans="1:39" x14ac:dyDescent="0.3">
      <c r="AM53" s="120"/>
    </row>
    <row r="57" spans="1:39" x14ac:dyDescent="0.3">
      <c r="A57" t="s">
        <v>17</v>
      </c>
      <c r="E57" s="13" t="s">
        <v>0</v>
      </c>
      <c r="G57" s="13" t="s">
        <v>1</v>
      </c>
      <c r="I57" s="13" t="s">
        <v>2</v>
      </c>
      <c r="L57" t="s">
        <v>3</v>
      </c>
      <c r="M57" t="s">
        <v>6</v>
      </c>
      <c r="N57" t="s">
        <v>4</v>
      </c>
      <c r="O57" t="s">
        <v>5</v>
      </c>
      <c r="P57" s="13"/>
    </row>
    <row r="58" spans="1:39" x14ac:dyDescent="0.3">
      <c r="A58" t="s">
        <v>106</v>
      </c>
      <c r="B58" s="14">
        <v>1</v>
      </c>
      <c r="C58" s="91" t="str">
        <f>SetIt(C58, E58, G58, I58, "#" &amp; _xlfn.CONCAT(E58,G58,I58))</f>
        <v/>
      </c>
      <c r="D58" t="s">
        <v>94</v>
      </c>
      <c r="E58" s="48" t="str">
        <f>IF(F58&lt;16,"0","")&amp;DEC2HEX(F58)</f>
        <v>01</v>
      </c>
      <c r="F58" s="36">
        <v>1</v>
      </c>
      <c r="G58" s="48" t="str">
        <f>IF(H58&lt;16,"0","")&amp;DEC2HEX(H58)</f>
        <v>6E</v>
      </c>
      <c r="H58" s="36">
        <v>110</v>
      </c>
      <c r="I58" s="48" t="str">
        <f>IF(J58&lt;16,"0","")&amp;DEC2HEX(J58)</f>
        <v>F0</v>
      </c>
      <c r="J58" s="36">
        <v>240</v>
      </c>
      <c r="P58" s="1"/>
      <c r="R58" s="1"/>
    </row>
    <row r="59" spans="1:39" x14ac:dyDescent="0.3">
      <c r="A59" t="s">
        <v>107</v>
      </c>
      <c r="B59" s="14">
        <v>2</v>
      </c>
      <c r="C59" s="93" t="str">
        <f>SetIt(C59, E59, G59, I59, "#" &amp; _xlfn.CONCAT(E59,G59,I59))</f>
        <v/>
      </c>
      <c r="D59" t="s">
        <v>96</v>
      </c>
      <c r="E59" s="48" t="str">
        <f>IF(F59&lt;16,"0","")&amp;DEC2HEX(F59)</f>
        <v>1A</v>
      </c>
      <c r="F59" s="36">
        <f>ROUND(F$58*O59+N59,0)</f>
        <v>26</v>
      </c>
      <c r="G59" s="48" t="str">
        <f>IF(H59&lt;16,"0","")&amp;DEC2HEX(H59)</f>
        <v>7D</v>
      </c>
      <c r="H59" s="36">
        <f>ROUND(H$58*O59+N59,0)</f>
        <v>125</v>
      </c>
      <c r="I59" s="48" t="str">
        <f>IF(J59&lt;16,"0","")&amp;DEC2HEX(J59)</f>
        <v>F2</v>
      </c>
      <c r="J59" s="36">
        <f>ROUND(J$58*O59+N59,0)</f>
        <v>242</v>
      </c>
      <c r="L59">
        <v>0.1</v>
      </c>
      <c r="M59" t="b">
        <f>(L59&lt;0)</f>
        <v>0</v>
      </c>
      <c r="N59" s="1">
        <f>IF(M59,0,255*L59)</f>
        <v>25.5</v>
      </c>
      <c r="O59" s="1">
        <f>IF(M59,1+L59,1-L59)</f>
        <v>0.9</v>
      </c>
      <c r="S59" s="34">
        <v>-0.1</v>
      </c>
      <c r="T59">
        <v>0.1</v>
      </c>
      <c r="U59" s="1"/>
    </row>
    <row r="60" spans="1:39" x14ac:dyDescent="0.3">
      <c r="B60" s="14">
        <v>3</v>
      </c>
      <c r="C60" s="94" t="str">
        <f t="shared" ref="C60:C67" si="54">SetIt(C60, E60, G60, I60, "#" &amp; _xlfn.CONCAT(E60,G60,I60))</f>
        <v/>
      </c>
      <c r="D60" t="s">
        <v>97</v>
      </c>
      <c r="E60" s="48" t="str">
        <f t="shared" ref="E60:E68" si="55">IF(F60&lt;16,"0","")&amp;DEC2HEX(F60)</f>
        <v>34</v>
      </c>
      <c r="F60" s="36">
        <f t="shared" ref="F60:F67" si="56">ROUND(F$58*O60+N60,0)</f>
        <v>52</v>
      </c>
      <c r="G60" s="48" t="str">
        <f t="shared" ref="G60:G68" si="57">IF(H60&lt;16,"0","")&amp;DEC2HEX(H60)</f>
        <v>8B</v>
      </c>
      <c r="H60" s="36">
        <f t="shared" ref="H60:H67" si="58">ROUND(H$58*O60+N60,0)</f>
        <v>139</v>
      </c>
      <c r="I60" s="48" t="str">
        <f t="shared" ref="I60:I68" si="59">IF(J60&lt;16,"0","")&amp;DEC2HEX(J60)</f>
        <v>F3</v>
      </c>
      <c r="J60" s="36">
        <f t="shared" ref="J60:J67" si="60">ROUND(J$58*O60+N60,0)</f>
        <v>243</v>
      </c>
      <c r="L60">
        <v>0.2</v>
      </c>
      <c r="M60" t="b">
        <f t="shared" ref="M60:M68" si="61">(L60&lt;0)</f>
        <v>0</v>
      </c>
      <c r="N60" s="1">
        <f t="shared" ref="N60:N67" si="62">IF(M60,0,255*L60)</f>
        <v>51</v>
      </c>
      <c r="O60" s="1">
        <f t="shared" ref="O60:O67" si="63">IF(M60,1+L60,1-L60)</f>
        <v>0.8</v>
      </c>
      <c r="S60" s="34">
        <v>-0.2</v>
      </c>
      <c r="T60">
        <v>0.2</v>
      </c>
      <c r="U60" s="1"/>
    </row>
    <row r="61" spans="1:39" x14ac:dyDescent="0.3">
      <c r="B61" s="14">
        <v>4</v>
      </c>
      <c r="C61" s="96" t="str">
        <f t="shared" si="54"/>
        <v/>
      </c>
      <c r="D61" t="s">
        <v>99</v>
      </c>
      <c r="E61" s="48" t="str">
        <f t="shared" si="55"/>
        <v>4D</v>
      </c>
      <c r="F61" s="36">
        <f t="shared" si="56"/>
        <v>77</v>
      </c>
      <c r="G61" s="48" t="str">
        <f t="shared" si="57"/>
        <v>9A</v>
      </c>
      <c r="H61" s="36">
        <f t="shared" si="58"/>
        <v>154</v>
      </c>
      <c r="I61" s="48" t="str">
        <f t="shared" si="59"/>
        <v>F5</v>
      </c>
      <c r="J61" s="36">
        <f t="shared" si="60"/>
        <v>245</v>
      </c>
      <c r="L61">
        <v>0.3</v>
      </c>
      <c r="M61" t="b">
        <f t="shared" si="61"/>
        <v>0</v>
      </c>
      <c r="N61" s="1">
        <f t="shared" si="62"/>
        <v>76.5</v>
      </c>
      <c r="O61" s="1">
        <f t="shared" si="63"/>
        <v>0.7</v>
      </c>
      <c r="S61" s="34">
        <v>-0.3</v>
      </c>
      <c r="T61">
        <v>0.3</v>
      </c>
      <c r="U61" s="1"/>
    </row>
    <row r="62" spans="1:39" x14ac:dyDescent="0.3">
      <c r="B62" s="14">
        <v>5</v>
      </c>
      <c r="C62" s="95" t="str">
        <f t="shared" si="54"/>
        <v/>
      </c>
      <c r="D62" t="s">
        <v>98</v>
      </c>
      <c r="E62" s="48" t="str">
        <f t="shared" si="55"/>
        <v>67</v>
      </c>
      <c r="F62" s="36">
        <f t="shared" si="56"/>
        <v>103</v>
      </c>
      <c r="G62" s="48" t="str">
        <f t="shared" si="57"/>
        <v>A8</v>
      </c>
      <c r="H62" s="36">
        <f t="shared" si="58"/>
        <v>168</v>
      </c>
      <c r="I62" s="48" t="str">
        <f t="shared" si="59"/>
        <v>F6</v>
      </c>
      <c r="J62" s="36">
        <f t="shared" si="60"/>
        <v>246</v>
      </c>
      <c r="L62">
        <v>0.4</v>
      </c>
      <c r="M62" t="b">
        <f t="shared" si="61"/>
        <v>0</v>
      </c>
      <c r="N62" s="1">
        <f t="shared" si="62"/>
        <v>102</v>
      </c>
      <c r="O62" s="1">
        <f t="shared" si="63"/>
        <v>0.6</v>
      </c>
      <c r="S62" s="34">
        <v>-0.4</v>
      </c>
      <c r="T62">
        <v>0.4</v>
      </c>
      <c r="U62" s="1"/>
    </row>
    <row r="63" spans="1:39" x14ac:dyDescent="0.3">
      <c r="B63" s="14">
        <v>6</v>
      </c>
      <c r="C63" s="97" t="str">
        <f t="shared" si="54"/>
        <v/>
      </c>
      <c r="D63" t="s">
        <v>100</v>
      </c>
      <c r="E63" s="48" t="str">
        <f t="shared" si="55"/>
        <v>80</v>
      </c>
      <c r="F63" s="36">
        <f t="shared" si="56"/>
        <v>128</v>
      </c>
      <c r="G63" s="48" t="str">
        <f t="shared" si="57"/>
        <v>B7</v>
      </c>
      <c r="H63" s="36">
        <f t="shared" si="58"/>
        <v>183</v>
      </c>
      <c r="I63" s="48" t="str">
        <f t="shared" si="59"/>
        <v>F8</v>
      </c>
      <c r="J63" s="36">
        <f t="shared" si="60"/>
        <v>248</v>
      </c>
      <c r="L63">
        <v>0.5</v>
      </c>
      <c r="M63" t="b">
        <f t="shared" si="61"/>
        <v>0</v>
      </c>
      <c r="N63" s="1">
        <f t="shared" si="62"/>
        <v>127.5</v>
      </c>
      <c r="O63" s="1">
        <f t="shared" si="63"/>
        <v>0.5</v>
      </c>
      <c r="S63" s="34">
        <v>-0.5</v>
      </c>
      <c r="T63">
        <v>0.5</v>
      </c>
      <c r="U63" s="1"/>
    </row>
    <row r="64" spans="1:39" x14ac:dyDescent="0.3">
      <c r="B64" s="14">
        <v>7</v>
      </c>
      <c r="C64" s="98" t="str">
        <f t="shared" si="54"/>
        <v/>
      </c>
      <c r="D64" t="s">
        <v>101</v>
      </c>
      <c r="E64" s="48" t="str">
        <f t="shared" si="55"/>
        <v>99</v>
      </c>
      <c r="F64" s="36">
        <f t="shared" si="56"/>
        <v>153</v>
      </c>
      <c r="G64" s="48" t="str">
        <f t="shared" si="57"/>
        <v>C5</v>
      </c>
      <c r="H64" s="36">
        <f t="shared" si="58"/>
        <v>197</v>
      </c>
      <c r="I64" s="48" t="str">
        <f t="shared" si="59"/>
        <v>F9</v>
      </c>
      <c r="J64" s="36">
        <f t="shared" si="60"/>
        <v>249</v>
      </c>
      <c r="L64">
        <v>0.6</v>
      </c>
      <c r="M64" t="b">
        <f t="shared" si="61"/>
        <v>0</v>
      </c>
      <c r="N64" s="1">
        <f t="shared" si="62"/>
        <v>153</v>
      </c>
      <c r="O64" s="1">
        <f t="shared" si="63"/>
        <v>0.4</v>
      </c>
      <c r="S64" s="34">
        <v>-0.6</v>
      </c>
      <c r="T64">
        <v>0.6</v>
      </c>
      <c r="U64" s="1"/>
    </row>
    <row r="65" spans="1:21" x14ac:dyDescent="0.3">
      <c r="B65" s="14">
        <v>8</v>
      </c>
      <c r="C65" s="101" t="str">
        <f t="shared" si="54"/>
        <v/>
      </c>
      <c r="D65" t="s">
        <v>104</v>
      </c>
      <c r="E65" s="48" t="str">
        <f t="shared" si="55"/>
        <v>B3</v>
      </c>
      <c r="F65" s="36">
        <f t="shared" si="56"/>
        <v>179</v>
      </c>
      <c r="G65" s="48" t="str">
        <f t="shared" si="57"/>
        <v>D4</v>
      </c>
      <c r="H65" s="36">
        <f t="shared" si="58"/>
        <v>212</v>
      </c>
      <c r="I65" s="48" t="str">
        <f t="shared" si="59"/>
        <v>FB</v>
      </c>
      <c r="J65" s="36">
        <f t="shared" si="60"/>
        <v>251</v>
      </c>
      <c r="L65">
        <v>0.7</v>
      </c>
      <c r="M65" t="b">
        <f t="shared" si="61"/>
        <v>0</v>
      </c>
      <c r="N65" s="1">
        <f t="shared" si="62"/>
        <v>178.5</v>
      </c>
      <c r="O65" s="1">
        <f t="shared" si="63"/>
        <v>0.30000000000000004</v>
      </c>
      <c r="S65" s="34">
        <v>-0.7</v>
      </c>
      <c r="T65">
        <v>0.7</v>
      </c>
      <c r="U65" s="1"/>
    </row>
    <row r="66" spans="1:21" x14ac:dyDescent="0.3">
      <c r="B66" s="14">
        <v>9</v>
      </c>
      <c r="C66" s="100" t="str">
        <f t="shared" si="54"/>
        <v/>
      </c>
      <c r="D66" t="s">
        <v>103</v>
      </c>
      <c r="E66" s="48" t="str">
        <f t="shared" si="55"/>
        <v>CC</v>
      </c>
      <c r="F66" s="36">
        <f t="shared" si="56"/>
        <v>204</v>
      </c>
      <c r="G66" s="48" t="str">
        <f t="shared" si="57"/>
        <v>E2</v>
      </c>
      <c r="H66" s="36">
        <f t="shared" si="58"/>
        <v>226</v>
      </c>
      <c r="I66" s="48" t="str">
        <f t="shared" si="59"/>
        <v>FC</v>
      </c>
      <c r="J66" s="36">
        <f t="shared" si="60"/>
        <v>252</v>
      </c>
      <c r="L66">
        <v>0.8</v>
      </c>
      <c r="M66" t="b">
        <f t="shared" si="61"/>
        <v>0</v>
      </c>
      <c r="N66" s="1">
        <f t="shared" si="62"/>
        <v>204</v>
      </c>
      <c r="O66" s="1">
        <f t="shared" si="63"/>
        <v>0.19999999999999996</v>
      </c>
      <c r="S66" s="34">
        <v>-0.8</v>
      </c>
      <c r="T66">
        <v>0.8</v>
      </c>
      <c r="U66" s="1"/>
    </row>
    <row r="67" spans="1:21" x14ac:dyDescent="0.3">
      <c r="B67" s="14">
        <v>10</v>
      </c>
      <c r="C67" s="99" t="str">
        <f t="shared" si="54"/>
        <v/>
      </c>
      <c r="D67" t="s">
        <v>102</v>
      </c>
      <c r="E67" s="48" t="str">
        <f t="shared" si="55"/>
        <v>E6</v>
      </c>
      <c r="F67" s="36">
        <f t="shared" si="56"/>
        <v>230</v>
      </c>
      <c r="G67" s="48" t="str">
        <f t="shared" si="57"/>
        <v>F1</v>
      </c>
      <c r="H67" s="36">
        <f t="shared" si="58"/>
        <v>241</v>
      </c>
      <c r="I67" s="48" t="str">
        <f t="shared" si="59"/>
        <v>FE</v>
      </c>
      <c r="J67" s="36">
        <f t="shared" si="60"/>
        <v>254</v>
      </c>
      <c r="L67">
        <v>0.9</v>
      </c>
      <c r="M67" t="b">
        <f t="shared" si="61"/>
        <v>0</v>
      </c>
      <c r="N67" s="1">
        <f t="shared" si="62"/>
        <v>229.5</v>
      </c>
      <c r="O67" s="1">
        <f t="shared" si="63"/>
        <v>9.9999999999999978E-2</v>
      </c>
      <c r="S67" s="34">
        <v>-0.9</v>
      </c>
      <c r="T67">
        <v>0.9</v>
      </c>
      <c r="U67" s="1"/>
    </row>
    <row r="68" spans="1:21" x14ac:dyDescent="0.3">
      <c r="B68" s="14">
        <v>11</v>
      </c>
      <c r="C68" s="92" t="str">
        <f>SetIt(C68, E68, G68, I68, "#" &amp; _xlfn.CONCAT(E68,G68,I68))</f>
        <v/>
      </c>
      <c r="D68" t="s">
        <v>95</v>
      </c>
      <c r="E68" s="48" t="str">
        <f t="shared" si="55"/>
        <v>F2</v>
      </c>
      <c r="F68" s="36">
        <f>ROUND(F$58*O68+N68,0)</f>
        <v>242</v>
      </c>
      <c r="G68" s="48" t="str">
        <f t="shared" si="57"/>
        <v>F8</v>
      </c>
      <c r="H68" s="36">
        <f>ROUND(H$58*O68+N68,0)</f>
        <v>248</v>
      </c>
      <c r="I68" s="48" t="str">
        <f t="shared" si="59"/>
        <v>FE</v>
      </c>
      <c r="J68" s="36">
        <f>ROUND(J$58*O68+N68,0)</f>
        <v>254</v>
      </c>
      <c r="L68">
        <v>0.95</v>
      </c>
      <c r="M68" t="b">
        <f t="shared" si="61"/>
        <v>0</v>
      </c>
      <c r="N68" s="1">
        <f>IF(M68,0,255*L68)</f>
        <v>242.25</v>
      </c>
      <c r="O68" s="1">
        <f>IF(M68,1+L68,1-L68)</f>
        <v>5.0000000000000044E-2</v>
      </c>
      <c r="S68" s="34">
        <v>-0.95</v>
      </c>
      <c r="T68">
        <v>0.95</v>
      </c>
      <c r="U68" s="1"/>
    </row>
    <row r="73" spans="1:21" x14ac:dyDescent="0.3">
      <c r="E73"/>
    </row>
    <row r="74" spans="1:21" x14ac:dyDescent="0.3">
      <c r="C74" t="s">
        <v>3</v>
      </c>
      <c r="D74" t="s">
        <v>6</v>
      </c>
      <c r="F74" t="s">
        <v>4</v>
      </c>
      <c r="I74" t="s">
        <v>5</v>
      </c>
      <c r="K74" s="1"/>
      <c r="M74" s="14"/>
      <c r="N74" t="s">
        <v>3</v>
      </c>
      <c r="O74" t="s">
        <v>6</v>
      </c>
      <c r="P74" s="13"/>
      <c r="Q74" t="s">
        <v>4</v>
      </c>
      <c r="R74" s="13"/>
      <c r="T74" t="s">
        <v>5</v>
      </c>
    </row>
    <row r="75" spans="1:21" x14ac:dyDescent="0.3">
      <c r="C75" s="1">
        <v>-0.1</v>
      </c>
      <c r="D75" t="b">
        <f>(C75&lt;0)</f>
        <v>1</v>
      </c>
      <c r="E75" s="150">
        <f>IF(D75,0,255*C75)</f>
        <v>0</v>
      </c>
      <c r="F75" s="150"/>
      <c r="G75" s="150"/>
      <c r="H75" s="150">
        <f>IF(D75,1+C75,1-C75)</f>
        <v>0.9</v>
      </c>
      <c r="I75" s="150"/>
      <c r="J75" s="150"/>
      <c r="M75" s="14"/>
      <c r="N75" s="1">
        <v>0.25</v>
      </c>
      <c r="O75" t="b">
        <f>(N75&lt;0)</f>
        <v>0</v>
      </c>
      <c r="P75" s="150">
        <f>IF(O75,0,255*N75)</f>
        <v>63.75</v>
      </c>
      <c r="Q75" s="150"/>
      <c r="R75" s="150"/>
      <c r="S75" s="150">
        <f>IF(O75,1+N75,1-N75)</f>
        <v>0.75</v>
      </c>
      <c r="T75" s="150"/>
      <c r="U75" s="150"/>
    </row>
    <row r="76" spans="1:21" x14ac:dyDescent="0.3">
      <c r="A76" t="s">
        <v>17</v>
      </c>
      <c r="E76" s="13" t="s">
        <v>0</v>
      </c>
      <c r="G76" s="13" t="s">
        <v>1</v>
      </c>
      <c r="I76" s="13" t="s">
        <v>2</v>
      </c>
      <c r="M76" s="14"/>
      <c r="P76" s="13" t="s">
        <v>0</v>
      </c>
      <c r="R76" s="13" t="s">
        <v>1</v>
      </c>
      <c r="T76" s="13" t="s">
        <v>2</v>
      </c>
    </row>
    <row r="77" spans="1:21" x14ac:dyDescent="0.3">
      <c r="A77" t="s">
        <v>92</v>
      </c>
      <c r="B77" s="14">
        <v>1</v>
      </c>
      <c r="C77" s="2" t="str">
        <f>SetIt(C77, E77, G77, I77, "#" &amp; _xlfn.CONCAT(E77,G77,I77))</f>
        <v/>
      </c>
      <c r="D77" t="s">
        <v>7</v>
      </c>
      <c r="E77" s="48" t="str">
        <f t="shared" ref="E77:E86" si="64">IF(F77&lt;16,"0","")&amp;DEC2HEX(F77)</f>
        <v>FF</v>
      </c>
      <c r="F77" s="36">
        <v>255</v>
      </c>
      <c r="G77" s="48" t="str">
        <f t="shared" ref="G77:G86" si="65">IF(H77&lt;16,"0","")&amp;DEC2HEX(H77)</f>
        <v>00</v>
      </c>
      <c r="H77" s="36">
        <v>0</v>
      </c>
      <c r="I77" s="48" t="str">
        <f t="shared" ref="I77:I86" si="66">IF(J77&lt;16,"0","")&amp;DEC2HEX(J77)</f>
        <v>00</v>
      </c>
      <c r="J77" s="36">
        <v>0</v>
      </c>
      <c r="K77" s="36"/>
      <c r="M77" s="14">
        <v>1</v>
      </c>
      <c r="N77" s="80" t="str">
        <f>SetIt(N77, P77, R77, T77, "#" &amp; _xlfn.CONCAT(P77,R77,T77))</f>
        <v/>
      </c>
      <c r="O77" t="s">
        <v>82</v>
      </c>
      <c r="P77" s="48" t="str">
        <f t="shared" ref="P77:P86" si="67">IF(Q77&lt;16,"0","")&amp;DEC2HEX(Q77)</f>
        <v>01</v>
      </c>
      <c r="Q77" s="36">
        <v>1</v>
      </c>
      <c r="R77" s="48" t="str">
        <f t="shared" ref="R77:R86" si="68">IF(S77&lt;16,"0","")&amp;DEC2HEX(S77)</f>
        <v>57</v>
      </c>
      <c r="S77" s="36">
        <v>87</v>
      </c>
      <c r="T77" s="48" t="str">
        <f t="shared" ref="T77:T86" si="69">IF(U77&lt;16,"0","")&amp;DEC2HEX(U77)</f>
        <v>9B</v>
      </c>
      <c r="U77" s="36">
        <v>155</v>
      </c>
    </row>
    <row r="78" spans="1:21" x14ac:dyDescent="0.3">
      <c r="A78" t="s">
        <v>105</v>
      </c>
      <c r="B78" s="14">
        <v>2</v>
      </c>
      <c r="C78" s="4" t="str">
        <f>SetIt(C78, E78, G78, I78, "#" &amp; _xlfn.CONCAT(E78,G78,I78))</f>
        <v/>
      </c>
      <c r="D78" t="s">
        <v>8</v>
      </c>
      <c r="E78" s="48" t="str">
        <f t="shared" si="64"/>
        <v>E6</v>
      </c>
      <c r="F78" s="36">
        <f>ROUND(F77*H75+E75,0)</f>
        <v>230</v>
      </c>
      <c r="G78" s="48" t="str">
        <f t="shared" si="65"/>
        <v>00</v>
      </c>
      <c r="H78" s="36">
        <f>ROUND(H77*H75+E75,0)</f>
        <v>0</v>
      </c>
      <c r="I78" s="48" t="str">
        <f t="shared" si="66"/>
        <v>00</v>
      </c>
      <c r="J78" s="36">
        <f>ROUND(J77*H75+E75,0)</f>
        <v>0</v>
      </c>
      <c r="K78" s="36"/>
      <c r="M78" s="14">
        <v>2</v>
      </c>
      <c r="N78" s="81" t="str">
        <f>SetIt(N78, P78, R78, T78, "#" &amp; _xlfn.CONCAT(P78,R78,T78))</f>
        <v/>
      </c>
      <c r="O78" t="s">
        <v>83</v>
      </c>
      <c r="P78" s="48" t="str">
        <f t="shared" si="67"/>
        <v>41</v>
      </c>
      <c r="Q78" s="36">
        <f>ROUND(Q77*S75+P75,0)</f>
        <v>65</v>
      </c>
      <c r="R78" s="48" t="str">
        <f t="shared" si="68"/>
        <v>81</v>
      </c>
      <c r="S78" s="36">
        <f>ROUND(S77*S75+P75,0)</f>
        <v>129</v>
      </c>
      <c r="T78" s="48" t="str">
        <f t="shared" si="69"/>
        <v>B4</v>
      </c>
      <c r="U78" s="36">
        <f>ROUND(U77*S75+P75,0)</f>
        <v>180</v>
      </c>
    </row>
    <row r="79" spans="1:21" x14ac:dyDescent="0.3">
      <c r="B79" s="14">
        <v>3</v>
      </c>
      <c r="C79" s="12" t="str">
        <f t="shared" ref="C79:C86" si="70">SetIt(C79, E79, G79, I79, "#" &amp; _xlfn.CONCAT(E79,G79,I79))</f>
        <v/>
      </c>
      <c r="D79" t="s">
        <v>16</v>
      </c>
      <c r="E79" s="48" t="str">
        <f t="shared" si="64"/>
        <v>CF</v>
      </c>
      <c r="F79" s="36">
        <f>ROUND(F78*H75+E75,0)</f>
        <v>207</v>
      </c>
      <c r="G79" s="48" t="str">
        <f t="shared" si="65"/>
        <v>00</v>
      </c>
      <c r="H79" s="36">
        <f>ROUND(H78*H75+E75,0)</f>
        <v>0</v>
      </c>
      <c r="I79" s="48" t="str">
        <f t="shared" si="66"/>
        <v>00</v>
      </c>
      <c r="J79" s="36">
        <f>ROUND(J78*H75+E75,0)</f>
        <v>0</v>
      </c>
      <c r="K79" s="36"/>
      <c r="M79" s="14">
        <v>3</v>
      </c>
      <c r="N79" s="82" t="str">
        <f t="shared" ref="N79:N86" si="71">SetIt(N79, P79, R79, T79, "#" &amp; _xlfn.CONCAT(P79,R79,T79))</f>
        <v/>
      </c>
      <c r="O79" t="s">
        <v>84</v>
      </c>
      <c r="P79" s="48" t="str">
        <f t="shared" si="67"/>
        <v>71</v>
      </c>
      <c r="Q79" s="36">
        <f>ROUND(Q78*S75+P75,0)</f>
        <v>113</v>
      </c>
      <c r="R79" s="48" t="str">
        <f t="shared" si="68"/>
        <v>A1</v>
      </c>
      <c r="S79" s="36">
        <f>ROUND(S78*S75+P75,0)</f>
        <v>161</v>
      </c>
      <c r="T79" s="48" t="str">
        <f t="shared" si="69"/>
        <v>C7</v>
      </c>
      <c r="U79" s="36">
        <f>ROUND(U78*S75+P75,0)</f>
        <v>199</v>
      </c>
    </row>
    <row r="80" spans="1:21" x14ac:dyDescent="0.3">
      <c r="B80" s="14">
        <v>4</v>
      </c>
      <c r="C80" s="6" t="str">
        <f t="shared" si="70"/>
        <v/>
      </c>
      <c r="D80" t="s">
        <v>10</v>
      </c>
      <c r="E80" s="48" t="str">
        <f t="shared" si="64"/>
        <v>BA</v>
      </c>
      <c r="F80" s="36">
        <f>ROUND(F79*H75+E75,0)</f>
        <v>186</v>
      </c>
      <c r="G80" s="48" t="str">
        <f t="shared" si="65"/>
        <v>00</v>
      </c>
      <c r="H80" s="36">
        <f>ROUND(H79*H75+E75,0)</f>
        <v>0</v>
      </c>
      <c r="I80" s="48" t="str">
        <f t="shared" si="66"/>
        <v>00</v>
      </c>
      <c r="J80" s="36">
        <f>ROUND(J79*H75+E75,0)</f>
        <v>0</v>
      </c>
      <c r="K80" s="36"/>
      <c r="M80" s="14">
        <v>4</v>
      </c>
      <c r="N80" s="84" t="str">
        <f t="shared" si="71"/>
        <v/>
      </c>
      <c r="O80" t="s">
        <v>86</v>
      </c>
      <c r="P80" s="48" t="str">
        <f t="shared" si="67"/>
        <v>95</v>
      </c>
      <c r="Q80" s="36">
        <f>ROUND(Q79*S75+P75,0)</f>
        <v>149</v>
      </c>
      <c r="R80" s="48" t="str">
        <f t="shared" si="68"/>
        <v>B9</v>
      </c>
      <c r="S80" s="36">
        <f>ROUND(S79*S75+P75,0)</f>
        <v>185</v>
      </c>
      <c r="T80" s="48" t="str">
        <f t="shared" si="69"/>
        <v>D5</v>
      </c>
      <c r="U80" s="36">
        <f>ROUND(U79*S75+P75,0)</f>
        <v>213</v>
      </c>
    </row>
    <row r="81" spans="1:21" x14ac:dyDescent="0.3">
      <c r="B81" s="14">
        <v>5</v>
      </c>
      <c r="C81" s="7" t="str">
        <f t="shared" si="70"/>
        <v/>
      </c>
      <c r="D81" t="s">
        <v>11</v>
      </c>
      <c r="E81" s="48" t="str">
        <f t="shared" si="64"/>
        <v>A7</v>
      </c>
      <c r="F81" s="36">
        <f>ROUND(F80*H75+E75,0)</f>
        <v>167</v>
      </c>
      <c r="G81" s="48" t="str">
        <f t="shared" si="65"/>
        <v>00</v>
      </c>
      <c r="H81" s="36">
        <f>ROUND(H80*H75+E75,0)</f>
        <v>0</v>
      </c>
      <c r="I81" s="48" t="str">
        <f t="shared" si="66"/>
        <v>00</v>
      </c>
      <c r="J81" s="36">
        <f>ROUND(J80*H75+E75,0)</f>
        <v>0</v>
      </c>
      <c r="K81" s="36"/>
      <c r="M81" s="14">
        <v>5</v>
      </c>
      <c r="N81" s="83" t="str">
        <f t="shared" si="71"/>
        <v/>
      </c>
      <c r="O81" t="s">
        <v>85</v>
      </c>
      <c r="P81" s="48" t="str">
        <f t="shared" si="67"/>
        <v>B0</v>
      </c>
      <c r="Q81" s="36">
        <f>ROUND(Q80*S75+P75,0)</f>
        <v>176</v>
      </c>
      <c r="R81" s="48" t="str">
        <f t="shared" si="68"/>
        <v>CB</v>
      </c>
      <c r="S81" s="36">
        <f>ROUND(S80*S75+P75,0)</f>
        <v>203</v>
      </c>
      <c r="T81" s="48" t="str">
        <f t="shared" si="69"/>
        <v>E0</v>
      </c>
      <c r="U81" s="36">
        <f>ROUND(U80*S75+P75,0)</f>
        <v>224</v>
      </c>
    </row>
    <row r="82" spans="1:21" x14ac:dyDescent="0.3">
      <c r="B82" s="14">
        <v>6</v>
      </c>
      <c r="C82" s="10" t="str">
        <f t="shared" si="70"/>
        <v/>
      </c>
      <c r="D82" t="s">
        <v>14</v>
      </c>
      <c r="E82" s="48" t="str">
        <f t="shared" si="64"/>
        <v>96</v>
      </c>
      <c r="F82" s="36">
        <f>ROUND(F81*H75+E75,0)</f>
        <v>150</v>
      </c>
      <c r="G82" s="48" t="str">
        <f t="shared" si="65"/>
        <v>00</v>
      </c>
      <c r="H82" s="36">
        <f>ROUND(H81*H75+E75,0)</f>
        <v>0</v>
      </c>
      <c r="I82" s="48" t="str">
        <f t="shared" si="66"/>
        <v>00</v>
      </c>
      <c r="J82" s="36">
        <f>ROUND(J81*H75+E75,0)</f>
        <v>0</v>
      </c>
      <c r="K82" s="36"/>
      <c r="M82" s="14">
        <v>6</v>
      </c>
      <c r="N82" s="85" t="str">
        <f t="shared" si="71"/>
        <v/>
      </c>
      <c r="O82" t="s">
        <v>87</v>
      </c>
      <c r="P82" s="48" t="str">
        <f t="shared" si="67"/>
        <v>C4</v>
      </c>
      <c r="Q82" s="36">
        <f>ROUND(Q81*S75+P75,0)</f>
        <v>196</v>
      </c>
      <c r="R82" s="48" t="str">
        <f t="shared" si="68"/>
        <v>D8</v>
      </c>
      <c r="S82" s="36">
        <f>ROUND(S81*S75+P75,0)</f>
        <v>216</v>
      </c>
      <c r="T82" s="48" t="str">
        <f t="shared" si="69"/>
        <v>E8</v>
      </c>
      <c r="U82" s="36">
        <f>ROUND(U81*S75+P75,0)</f>
        <v>232</v>
      </c>
    </row>
    <row r="83" spans="1:21" x14ac:dyDescent="0.3">
      <c r="B83" s="14">
        <v>7</v>
      </c>
      <c r="C83" s="11" t="str">
        <f t="shared" si="70"/>
        <v/>
      </c>
      <c r="D83" t="s">
        <v>15</v>
      </c>
      <c r="E83" s="48" t="str">
        <f t="shared" si="64"/>
        <v>87</v>
      </c>
      <c r="F83" s="36">
        <f>ROUND(F82*H75+E75,0)</f>
        <v>135</v>
      </c>
      <c r="G83" s="48" t="str">
        <f t="shared" si="65"/>
        <v>00</v>
      </c>
      <c r="H83" s="36">
        <f>ROUND(H82*H75+E75,0)</f>
        <v>0</v>
      </c>
      <c r="I83" s="48" t="str">
        <f t="shared" si="66"/>
        <v>00</v>
      </c>
      <c r="J83" s="36">
        <f>ROUND(J82*H75+E75,0)</f>
        <v>0</v>
      </c>
      <c r="K83" s="36"/>
      <c r="M83" s="14">
        <v>7</v>
      </c>
      <c r="N83" s="86" t="str">
        <f t="shared" si="71"/>
        <v/>
      </c>
      <c r="O83" t="s">
        <v>88</v>
      </c>
      <c r="P83" s="48" t="str">
        <f t="shared" si="67"/>
        <v>D3</v>
      </c>
      <c r="Q83" s="36">
        <f>ROUND(Q82*S75+P75,0)</f>
        <v>211</v>
      </c>
      <c r="R83" s="48" t="str">
        <f t="shared" si="68"/>
        <v>E2</v>
      </c>
      <c r="S83" s="36">
        <f>ROUND(S82*S75+P75,0)</f>
        <v>226</v>
      </c>
      <c r="T83" s="48" t="str">
        <f t="shared" si="69"/>
        <v>EE</v>
      </c>
      <c r="U83" s="36">
        <f>ROUND(U82*S75+P75,0)</f>
        <v>238</v>
      </c>
    </row>
    <row r="84" spans="1:21" x14ac:dyDescent="0.3">
      <c r="B84" s="14">
        <v>8</v>
      </c>
      <c r="C84" s="5" t="str">
        <f t="shared" si="70"/>
        <v/>
      </c>
      <c r="D84" t="s">
        <v>9</v>
      </c>
      <c r="E84" s="48" t="str">
        <f t="shared" si="64"/>
        <v>7A</v>
      </c>
      <c r="F84" s="36">
        <f>ROUND(F83*H75+E75,0)</f>
        <v>122</v>
      </c>
      <c r="G84" s="48" t="str">
        <f t="shared" si="65"/>
        <v>00</v>
      </c>
      <c r="H84" s="36">
        <f>ROUND(H83*H75+E75,0)</f>
        <v>0</v>
      </c>
      <c r="I84" s="48" t="str">
        <f t="shared" si="66"/>
        <v>00</v>
      </c>
      <c r="J84" s="36">
        <f>ROUND(J83*H75+E75,0)</f>
        <v>0</v>
      </c>
      <c r="K84" s="36"/>
      <c r="M84" s="14">
        <v>8</v>
      </c>
      <c r="N84" s="87" t="str">
        <f t="shared" si="71"/>
        <v/>
      </c>
      <c r="O84" t="s">
        <v>89</v>
      </c>
      <c r="P84" s="48" t="str">
        <f t="shared" si="67"/>
        <v>DE</v>
      </c>
      <c r="Q84" s="36">
        <f>ROUND(Q83*S75+P75,0)</f>
        <v>222</v>
      </c>
      <c r="R84" s="48" t="str">
        <f t="shared" si="68"/>
        <v>E9</v>
      </c>
      <c r="S84" s="36">
        <f>ROUND(S83*S75+P75,0)</f>
        <v>233</v>
      </c>
      <c r="T84" s="48" t="str">
        <f t="shared" si="69"/>
        <v>F2</v>
      </c>
      <c r="U84" s="36">
        <f>ROUND(U83*S75+P75,0)</f>
        <v>242</v>
      </c>
    </row>
    <row r="85" spans="1:21" x14ac:dyDescent="0.3">
      <c r="B85" s="14">
        <v>9</v>
      </c>
      <c r="C85" s="8" t="str">
        <f t="shared" si="70"/>
        <v/>
      </c>
      <c r="D85" t="s">
        <v>12</v>
      </c>
      <c r="E85" s="48" t="str">
        <f t="shared" si="64"/>
        <v>6E</v>
      </c>
      <c r="F85" s="36">
        <f>ROUND(F84*H75+E75,0)</f>
        <v>110</v>
      </c>
      <c r="G85" s="48" t="str">
        <f t="shared" si="65"/>
        <v>00</v>
      </c>
      <c r="H85" s="36">
        <f>ROUND(H84*H75+E75,0)</f>
        <v>0</v>
      </c>
      <c r="I85" s="48" t="str">
        <f t="shared" si="66"/>
        <v>00</v>
      </c>
      <c r="J85" s="36">
        <f>ROUND(J84*H75+E75,0)</f>
        <v>0</v>
      </c>
      <c r="K85" s="36"/>
      <c r="M85" s="14">
        <v>9</v>
      </c>
      <c r="N85" s="88" t="str">
        <f t="shared" si="71"/>
        <v/>
      </c>
      <c r="O85" t="s">
        <v>90</v>
      </c>
      <c r="P85" s="48" t="str">
        <f t="shared" si="67"/>
        <v>E6</v>
      </c>
      <c r="Q85" s="36">
        <f>ROUND(Q84*S75+P75,0)</f>
        <v>230</v>
      </c>
      <c r="R85" s="48" t="str">
        <f t="shared" si="68"/>
        <v>EF</v>
      </c>
      <c r="S85" s="36">
        <f>ROUND(S84*S75+P75,0)</f>
        <v>239</v>
      </c>
      <c r="T85" s="48" t="str">
        <f t="shared" si="69"/>
        <v>F5</v>
      </c>
      <c r="U85" s="36">
        <f>ROUND(U84*S75+P75,0)</f>
        <v>245</v>
      </c>
    </row>
    <row r="86" spans="1:21" x14ac:dyDescent="0.3">
      <c r="B86" s="14">
        <v>10</v>
      </c>
      <c r="C86" s="9" t="str">
        <f t="shared" si="70"/>
        <v/>
      </c>
      <c r="D86" t="s">
        <v>13</v>
      </c>
      <c r="E86" s="48" t="str">
        <f t="shared" si="64"/>
        <v>63</v>
      </c>
      <c r="F86" s="36">
        <f>ROUND(F85*H75+E75,0)</f>
        <v>99</v>
      </c>
      <c r="G86" s="48" t="str">
        <f t="shared" si="65"/>
        <v>00</v>
      </c>
      <c r="H86" s="36">
        <f>ROUND(H85*H75+E75,0)</f>
        <v>0</v>
      </c>
      <c r="I86" s="48" t="str">
        <f t="shared" si="66"/>
        <v>00</v>
      </c>
      <c r="J86" s="36">
        <f>ROUND(J85*H75+E75,0)</f>
        <v>0</v>
      </c>
      <c r="K86" s="36"/>
      <c r="M86" s="14">
        <v>10</v>
      </c>
      <c r="N86" s="89" t="str">
        <f t="shared" si="71"/>
        <v/>
      </c>
      <c r="O86" t="s">
        <v>91</v>
      </c>
      <c r="P86" s="48" t="str">
        <f t="shared" si="67"/>
        <v>EC</v>
      </c>
      <c r="Q86" s="36">
        <f>ROUND(Q85*S75+P75,0)</f>
        <v>236</v>
      </c>
      <c r="R86" s="48" t="str">
        <f t="shared" si="68"/>
        <v>F3</v>
      </c>
      <c r="S86" s="36">
        <f>ROUND(S85*S75+P75,0)</f>
        <v>243</v>
      </c>
      <c r="T86" s="48" t="str">
        <f t="shared" si="69"/>
        <v>F8</v>
      </c>
      <c r="U86" s="36">
        <f>ROUND(U85*S75+P75,0)</f>
        <v>248</v>
      </c>
    </row>
    <row r="87" spans="1:21" x14ac:dyDescent="0.3">
      <c r="E87" s="48"/>
      <c r="F87" s="3"/>
      <c r="G87" s="48"/>
      <c r="H87" s="3"/>
      <c r="I87" s="48"/>
      <c r="L87" s="36"/>
      <c r="M87" s="36"/>
      <c r="N87" s="36"/>
      <c r="P87" s="1"/>
      <c r="R87" s="1"/>
      <c r="S87" s="1"/>
    </row>
    <row r="88" spans="1:21" x14ac:dyDescent="0.3">
      <c r="E88" s="48"/>
      <c r="F88" s="3"/>
      <c r="G88" s="48"/>
      <c r="H88" s="3"/>
      <c r="I88" s="48"/>
      <c r="L88" s="36"/>
      <c r="M88" s="36"/>
      <c r="N88" s="36"/>
      <c r="P88" s="1"/>
      <c r="R88" s="1"/>
      <c r="S88" s="1"/>
    </row>
    <row r="89" spans="1:21" x14ac:dyDescent="0.3">
      <c r="C89" s="1">
        <v>0.1</v>
      </c>
      <c r="D89" t="b">
        <f>(C89&lt;0)</f>
        <v>0</v>
      </c>
      <c r="E89" s="150">
        <f>IF(D89,0,C89*255^2)</f>
        <v>6502.5</v>
      </c>
      <c r="F89" s="150"/>
      <c r="G89" s="150"/>
      <c r="H89" s="150">
        <f>IF(D89,1+C89,1-C89)</f>
        <v>0.9</v>
      </c>
      <c r="I89" s="150"/>
      <c r="J89" s="150"/>
      <c r="K89" s="1"/>
      <c r="L89" s="36"/>
      <c r="M89" s="14"/>
      <c r="N89" s="1">
        <v>0.15</v>
      </c>
      <c r="O89" t="b">
        <f>(N89&lt;0)</f>
        <v>0</v>
      </c>
      <c r="P89" s="150">
        <f>IF(O89,0,N89*255^2)</f>
        <v>9753.75</v>
      </c>
      <c r="Q89" s="150"/>
      <c r="R89" s="150"/>
      <c r="S89" s="150">
        <f>IF(O89,1+N89,1-N89)</f>
        <v>0.85</v>
      </c>
      <c r="T89" s="150"/>
      <c r="U89" s="150"/>
    </row>
    <row r="90" spans="1:21" x14ac:dyDescent="0.3">
      <c r="A90" t="s">
        <v>18</v>
      </c>
      <c r="L90" s="36"/>
      <c r="M90" s="14"/>
      <c r="P90" s="13"/>
      <c r="R90" s="13"/>
      <c r="T90" s="13"/>
    </row>
    <row r="91" spans="1:21" x14ac:dyDescent="0.3">
      <c r="A91" t="s">
        <v>92</v>
      </c>
      <c r="B91" s="14">
        <v>1</v>
      </c>
      <c r="C91" s="17" t="str">
        <f>SetIt(C91, E91, G91, I91, "#" &amp; _xlfn.CONCAT(E91,G91,I91))</f>
        <v/>
      </c>
      <c r="D91" t="s">
        <v>22</v>
      </c>
      <c r="E91" s="48" t="str">
        <f t="shared" ref="E91:E106" si="72">IF(F91&lt;16,"0","")&amp;DEC2HEX(F91)</f>
        <v>F4</v>
      </c>
      <c r="F91" s="36">
        <v>244</v>
      </c>
      <c r="G91" s="48" t="str">
        <f t="shared" ref="G91:G106" si="73">IF(H91&lt;16,"0","")&amp;DEC2HEX(H91)</f>
        <v>80</v>
      </c>
      <c r="H91" s="36">
        <v>128</v>
      </c>
      <c r="I91" s="48" t="str">
        <f t="shared" ref="I91:I106" si="74">IF(J91&lt;16,"0","")&amp;DEC2HEX(J91)</f>
        <v>00</v>
      </c>
      <c r="J91" s="36">
        <v>0</v>
      </c>
      <c r="K91" s="36"/>
      <c r="M91" s="14">
        <v>1</v>
      </c>
      <c r="N91" s="64" t="str">
        <f>SetIt(N91, P91, R91, T91, "#" &amp; _xlfn.CONCAT(P91,R91,T91))</f>
        <v/>
      </c>
      <c r="O91" t="s">
        <v>66</v>
      </c>
      <c r="P91" s="48" t="str">
        <f t="shared" ref="P91:P106" si="75">IF(Q91&lt;16,"0","")&amp;DEC2HEX(Q91)</f>
        <v>02</v>
      </c>
      <c r="Q91" s="36">
        <v>2</v>
      </c>
      <c r="R91" s="48" t="str">
        <f t="shared" ref="R91:R106" si="76">IF(S91&lt;16,"0","")&amp;DEC2HEX(S91)</f>
        <v>77</v>
      </c>
      <c r="S91" s="36">
        <v>119</v>
      </c>
      <c r="T91" s="48" t="str">
        <f t="shared" ref="T91:T106" si="77">IF(U91&lt;16,"0","")&amp;DEC2HEX(U91)</f>
        <v>BD</v>
      </c>
      <c r="U91" s="36">
        <v>189</v>
      </c>
    </row>
    <row r="92" spans="1:21" x14ac:dyDescent="0.3">
      <c r="A92" t="s">
        <v>105</v>
      </c>
      <c r="B92" s="14">
        <v>2</v>
      </c>
      <c r="C92" s="19" t="str">
        <f>SetIt(C92, E92, G92, I92, "#" &amp; _xlfn.CONCAT(E92,G92,I92))</f>
        <v/>
      </c>
      <c r="D92" t="s">
        <v>24</v>
      </c>
      <c r="E92" s="48" t="str">
        <f t="shared" si="72"/>
        <v>F5</v>
      </c>
      <c r="F92" s="36">
        <f>ROUND((H89*F91^2+E89)^0.5,0)</f>
        <v>245</v>
      </c>
      <c r="G92" s="48" t="str">
        <f t="shared" si="73"/>
        <v>92</v>
      </c>
      <c r="H92" s="36">
        <f>ROUND((H89*H91^2+E89)^0.5,0)</f>
        <v>146</v>
      </c>
      <c r="I92" s="48" t="str">
        <f t="shared" si="74"/>
        <v>51</v>
      </c>
      <c r="J92" s="36">
        <f>ROUND((H89*J91^2+E89)^0.5,0)</f>
        <v>81</v>
      </c>
      <c r="K92" s="36"/>
      <c r="M92" s="14">
        <v>2</v>
      </c>
      <c r="N92" s="67" t="str">
        <f>SetIt(N92, P92, R92, T92, "#" &amp; _xlfn.CONCAT(P92,R92,T92))</f>
        <v/>
      </c>
      <c r="O92" t="s">
        <v>69</v>
      </c>
      <c r="P92" s="48" t="str">
        <f t="shared" si="75"/>
        <v>63</v>
      </c>
      <c r="Q92" s="36">
        <f>ROUND((S89*Q91^2+P89)^0.5,0)</f>
        <v>99</v>
      </c>
      <c r="R92" s="48" t="str">
        <f t="shared" si="76"/>
        <v>94</v>
      </c>
      <c r="S92" s="36">
        <f>ROUND((S89*S91^2+P89)^0.5,0)</f>
        <v>148</v>
      </c>
      <c r="T92" s="48" t="str">
        <f t="shared" si="77"/>
        <v>C8</v>
      </c>
      <c r="U92" s="36">
        <f>ROUND((S89*U91^2+P89)^0.5,0)</f>
        <v>200</v>
      </c>
    </row>
    <row r="93" spans="1:21" x14ac:dyDescent="0.3">
      <c r="B93" s="14">
        <v>3</v>
      </c>
      <c r="C93" s="20" t="str">
        <f>SetIt(C93, E93, G93, I93, "#" &amp; _xlfn.CONCAT(E93,G93,I93))</f>
        <v/>
      </c>
      <c r="D93" t="s">
        <v>25</v>
      </c>
      <c r="E93" s="48" t="str">
        <f t="shared" si="72"/>
        <v>F6</v>
      </c>
      <c r="F93" s="36">
        <f>ROUND((H89*F92^2+E89)^0.5,0)</f>
        <v>246</v>
      </c>
      <c r="G93" s="48" t="str">
        <f t="shared" si="73"/>
        <v>A0</v>
      </c>
      <c r="H93" s="36">
        <f>ROUND((H89*H92^2+E89)^0.5,0)</f>
        <v>160</v>
      </c>
      <c r="I93" s="48" t="str">
        <f t="shared" si="74"/>
        <v>6F</v>
      </c>
      <c r="J93" s="36">
        <f>ROUND((H89*J92^2+E89)^0.5,0)</f>
        <v>111</v>
      </c>
      <c r="K93" s="36"/>
      <c r="M93" s="14">
        <v>3</v>
      </c>
      <c r="N93" s="66" t="str">
        <f>SetIt(N93, P93, R93, T93, "#" &amp; _xlfn.CONCAT(P93,R93,T93))</f>
        <v/>
      </c>
      <c r="O93" t="s">
        <v>68</v>
      </c>
      <c r="P93" s="48" t="str">
        <f t="shared" si="75"/>
        <v>86</v>
      </c>
      <c r="Q93" s="36">
        <f>ROUND((S89*Q92^2+P89)^0.5,0)</f>
        <v>134</v>
      </c>
      <c r="R93" s="48" t="str">
        <f t="shared" si="76"/>
        <v>A8</v>
      </c>
      <c r="S93" s="36">
        <f>ROUND((S89*S92^2+P89)^0.5,0)</f>
        <v>168</v>
      </c>
      <c r="T93" s="48" t="str">
        <f t="shared" si="77"/>
        <v>D1</v>
      </c>
      <c r="U93" s="36">
        <f>ROUND((S89*U92^2+P89)^0.5,0)</f>
        <v>209</v>
      </c>
    </row>
    <row r="94" spans="1:21" x14ac:dyDescent="0.3">
      <c r="B94" s="14">
        <v>4</v>
      </c>
      <c r="C94" s="21" t="str">
        <f t="shared" ref="C94:C102" si="78">SetIt(C94, E94, G94, I94, "#" &amp; _xlfn.CONCAT(E94,G94,I94))</f>
        <v/>
      </c>
      <c r="D94" t="s">
        <v>26</v>
      </c>
      <c r="E94" s="48" t="str">
        <f t="shared" si="72"/>
        <v>F7</v>
      </c>
      <c r="F94" s="36">
        <f>ROUND((H89*F93^2+E89)^0.5,0)</f>
        <v>247</v>
      </c>
      <c r="G94" s="48" t="str">
        <f t="shared" si="73"/>
        <v>AC</v>
      </c>
      <c r="H94" s="36">
        <f>ROUND((H89*H93^2+E89)^0.5,0)</f>
        <v>172</v>
      </c>
      <c r="I94" s="48" t="str">
        <f t="shared" si="74"/>
        <v>85</v>
      </c>
      <c r="J94" s="36">
        <f>ROUND((H89*J93^2+E89)^0.5,0)</f>
        <v>133</v>
      </c>
      <c r="K94" s="36"/>
      <c r="M94" s="14">
        <v>4</v>
      </c>
      <c r="N94" s="69" t="str">
        <f t="shared" ref="N94:N106" si="79">SetIt(N94, P94, R94, T94, "#" &amp; _xlfn.CONCAT(P94,R94,T94))</f>
        <v/>
      </c>
      <c r="O94" t="s">
        <v>71</v>
      </c>
      <c r="P94" s="48" t="str">
        <f t="shared" si="75"/>
        <v>9E</v>
      </c>
      <c r="Q94" s="36">
        <f>ROUND((S89*Q93^2+P89)^0.5,0)</f>
        <v>158</v>
      </c>
      <c r="R94" s="48" t="str">
        <f t="shared" si="76"/>
        <v>B8</v>
      </c>
      <c r="S94" s="36">
        <f>ROUND((S89*S93^2+P89)^0.5,0)</f>
        <v>184</v>
      </c>
      <c r="T94" s="48" t="str">
        <f t="shared" si="77"/>
        <v>D9</v>
      </c>
      <c r="U94" s="36">
        <f>ROUND((S89*U93^2+P89)^0.5,0)</f>
        <v>217</v>
      </c>
    </row>
    <row r="95" spans="1:21" x14ac:dyDescent="0.3">
      <c r="B95" s="14">
        <v>5</v>
      </c>
      <c r="C95" s="22" t="str">
        <f t="shared" si="78"/>
        <v/>
      </c>
      <c r="D95" t="s">
        <v>27</v>
      </c>
      <c r="E95" s="48" t="str">
        <f t="shared" si="72"/>
        <v>F8</v>
      </c>
      <c r="F95" s="36">
        <f>ROUND((H89*F94^2+E89)^0.5,0)</f>
        <v>248</v>
      </c>
      <c r="G95" s="48" t="str">
        <f t="shared" si="73"/>
        <v>B6</v>
      </c>
      <c r="H95" s="36">
        <f>ROUND((H89*H94^2+E89)^0.5,0)</f>
        <v>182</v>
      </c>
      <c r="I95" s="48" t="str">
        <f t="shared" si="74"/>
        <v>96</v>
      </c>
      <c r="J95" s="36">
        <f>ROUND((H89*J94^2+E89)^0.5,0)</f>
        <v>150</v>
      </c>
      <c r="K95" s="36"/>
      <c r="M95" s="14">
        <v>5</v>
      </c>
      <c r="N95" s="68" t="str">
        <f t="shared" si="79"/>
        <v/>
      </c>
      <c r="O95" t="s">
        <v>70</v>
      </c>
      <c r="P95" s="48" t="str">
        <f t="shared" si="75"/>
        <v>B0</v>
      </c>
      <c r="Q95" s="36">
        <f>ROUND((S89*Q94^2+P89)^0.5,0)</f>
        <v>176</v>
      </c>
      <c r="R95" s="48" t="str">
        <f t="shared" si="76"/>
        <v>C4</v>
      </c>
      <c r="S95" s="36">
        <f>ROUND((S89*S94^2+P89)^0.5,0)</f>
        <v>196</v>
      </c>
      <c r="T95" s="48" t="str">
        <f t="shared" si="77"/>
        <v>DF</v>
      </c>
      <c r="U95" s="36">
        <f>ROUND((S89*U94^2+P89)^0.5,0)</f>
        <v>223</v>
      </c>
    </row>
    <row r="96" spans="1:21" x14ac:dyDescent="0.3">
      <c r="B96" s="14">
        <v>6</v>
      </c>
      <c r="C96" s="23" t="str">
        <f t="shared" si="78"/>
        <v/>
      </c>
      <c r="D96" t="s">
        <v>28</v>
      </c>
      <c r="E96" s="48" t="str">
        <f t="shared" si="72"/>
        <v>F9</v>
      </c>
      <c r="F96" s="36">
        <f>ROUND((H89*F95^2+E89)^0.5,0)</f>
        <v>249</v>
      </c>
      <c r="G96" s="48" t="str">
        <f t="shared" si="73"/>
        <v>BF</v>
      </c>
      <c r="H96" s="36">
        <f>ROUND((H89*H95^2+E89)^0.5,0)</f>
        <v>191</v>
      </c>
      <c r="I96" s="48" t="str">
        <f t="shared" si="74"/>
        <v>A4</v>
      </c>
      <c r="J96" s="36">
        <f>ROUND((H89*J95^2+E89)^0.5,0)</f>
        <v>164</v>
      </c>
      <c r="K96" s="36"/>
      <c r="M96" s="14">
        <v>6</v>
      </c>
      <c r="N96" s="70" t="str">
        <f t="shared" si="79"/>
        <v/>
      </c>
      <c r="O96" t="s">
        <v>72</v>
      </c>
      <c r="P96" s="48" t="str">
        <f t="shared" si="75"/>
        <v>BE</v>
      </c>
      <c r="Q96" s="36">
        <f>ROUND((S89*Q95^2+P89)^0.5,0)</f>
        <v>190</v>
      </c>
      <c r="R96" s="48" t="str">
        <f t="shared" si="76"/>
        <v>CE</v>
      </c>
      <c r="S96" s="36">
        <f>ROUND((S89*S95^2+P89)^0.5,0)</f>
        <v>206</v>
      </c>
      <c r="T96" s="48" t="str">
        <f t="shared" si="77"/>
        <v>E4</v>
      </c>
      <c r="U96" s="36">
        <f>ROUND((S89*U95^2+P89)^0.5,0)</f>
        <v>228</v>
      </c>
    </row>
    <row r="97" spans="1:21" x14ac:dyDescent="0.3">
      <c r="B97" s="14">
        <v>7</v>
      </c>
      <c r="C97" s="24" t="str">
        <f t="shared" si="78"/>
        <v/>
      </c>
      <c r="D97" t="s">
        <v>29</v>
      </c>
      <c r="E97" s="48" t="str">
        <f t="shared" si="72"/>
        <v>FA</v>
      </c>
      <c r="F97" s="36">
        <f>ROUND((H89*F96^2+E89)^0.5,0)</f>
        <v>250</v>
      </c>
      <c r="G97" s="48" t="str">
        <f t="shared" si="73"/>
        <v>C6</v>
      </c>
      <c r="H97" s="36">
        <f>ROUND((H89*H96^2+E89)^0.5,0)</f>
        <v>198</v>
      </c>
      <c r="I97" s="48" t="str">
        <f t="shared" si="74"/>
        <v>AF</v>
      </c>
      <c r="J97" s="36">
        <f>ROUND((H89*J96^2+E89)^0.5,0)</f>
        <v>175</v>
      </c>
      <c r="K97" s="36"/>
      <c r="M97" s="14">
        <v>7</v>
      </c>
      <c r="N97" s="71" t="str">
        <f t="shared" si="79"/>
        <v/>
      </c>
      <c r="O97" t="s">
        <v>73</v>
      </c>
      <c r="P97" s="48" t="str">
        <f t="shared" si="75"/>
        <v>C9</v>
      </c>
      <c r="Q97" s="36">
        <f>ROUND((S89*Q96^2+P89)^0.5,0)</f>
        <v>201</v>
      </c>
      <c r="R97" s="48" t="str">
        <f t="shared" si="76"/>
        <v>D6</v>
      </c>
      <c r="S97" s="36">
        <f>ROUND((S89*S96^2+P89)^0.5,0)</f>
        <v>214</v>
      </c>
      <c r="T97" s="48" t="str">
        <f t="shared" si="77"/>
        <v>E8</v>
      </c>
      <c r="U97" s="36">
        <f>ROUND((S89*U96^2+P89)^0.5,0)</f>
        <v>232</v>
      </c>
    </row>
    <row r="98" spans="1:21" x14ac:dyDescent="0.3">
      <c r="B98" s="14">
        <v>8</v>
      </c>
      <c r="C98" s="25" t="str">
        <f t="shared" si="78"/>
        <v/>
      </c>
      <c r="D98" t="s">
        <v>30</v>
      </c>
      <c r="E98" s="48" t="str">
        <f t="shared" si="72"/>
        <v>FB</v>
      </c>
      <c r="F98" s="36">
        <f>ROUND((H89*F97^2+E89)^0.5,0)</f>
        <v>251</v>
      </c>
      <c r="G98" s="48" t="str">
        <f t="shared" si="73"/>
        <v>CC</v>
      </c>
      <c r="H98" s="36">
        <f>ROUND((H89*H97^2+E89)^0.5,0)</f>
        <v>204</v>
      </c>
      <c r="I98" s="48" t="str">
        <f t="shared" si="74"/>
        <v>B9</v>
      </c>
      <c r="J98" s="36">
        <f>ROUND((H89*J97^2+E89)^0.5,0)</f>
        <v>185</v>
      </c>
      <c r="K98" s="36"/>
      <c r="M98" s="14">
        <v>8</v>
      </c>
      <c r="N98" s="72" t="str">
        <f t="shared" si="79"/>
        <v/>
      </c>
      <c r="O98" t="s">
        <v>74</v>
      </c>
      <c r="P98" s="48" t="str">
        <f t="shared" si="75"/>
        <v>D2</v>
      </c>
      <c r="Q98" s="36">
        <f>ROUND((S89*Q97^2+P89)^0.5,0)</f>
        <v>210</v>
      </c>
      <c r="R98" s="48" t="str">
        <f t="shared" si="76"/>
        <v>DD</v>
      </c>
      <c r="S98" s="36">
        <f>ROUND((S89*S97^2+P89)^0.5,0)</f>
        <v>221</v>
      </c>
      <c r="T98" s="48" t="str">
        <f t="shared" si="77"/>
        <v>EC</v>
      </c>
      <c r="U98" s="36">
        <f>ROUND((S89*U97^2+P89)^0.5,0)</f>
        <v>236</v>
      </c>
    </row>
    <row r="99" spans="1:21" x14ac:dyDescent="0.3">
      <c r="B99" s="14">
        <v>9</v>
      </c>
      <c r="C99" s="26" t="str">
        <f t="shared" si="78"/>
        <v/>
      </c>
      <c r="D99" t="s">
        <v>31</v>
      </c>
      <c r="E99" s="48" t="str">
        <f t="shared" si="72"/>
        <v>FB</v>
      </c>
      <c r="F99" s="36">
        <f>ROUND((H89*F98^2+E89)^0.5,0)</f>
        <v>251</v>
      </c>
      <c r="G99" s="48" t="str">
        <f t="shared" si="73"/>
        <v>D2</v>
      </c>
      <c r="H99" s="36">
        <f>ROUND((H89*H98^2+E89)^0.5,0)</f>
        <v>210</v>
      </c>
      <c r="I99" s="48" t="str">
        <f t="shared" si="74"/>
        <v>C1</v>
      </c>
      <c r="J99" s="36">
        <f>ROUND((H89*J98^2+E89)^0.5,0)</f>
        <v>193</v>
      </c>
      <c r="K99" s="36"/>
      <c r="M99" s="14">
        <v>9</v>
      </c>
      <c r="N99" s="65" t="str">
        <f t="shared" si="79"/>
        <v/>
      </c>
      <c r="O99" t="s">
        <v>67</v>
      </c>
      <c r="P99" s="48" t="str">
        <f t="shared" si="75"/>
        <v>D9</v>
      </c>
      <c r="Q99" s="36">
        <f>ROUND((S89*Q98^2+P89)^0.5,0)</f>
        <v>217</v>
      </c>
      <c r="R99" s="48" t="str">
        <f t="shared" si="76"/>
        <v>E2</v>
      </c>
      <c r="S99" s="36">
        <f>ROUND((S89*S98^2+P89)^0.5,0)</f>
        <v>226</v>
      </c>
      <c r="T99" s="48" t="str">
        <f t="shared" si="77"/>
        <v>EF</v>
      </c>
      <c r="U99" s="36">
        <f>ROUND((S89*U98^2+P89)^0.5,0)</f>
        <v>239</v>
      </c>
    </row>
    <row r="100" spans="1:21" x14ac:dyDescent="0.3">
      <c r="B100" s="14">
        <v>10</v>
      </c>
      <c r="C100" s="27" t="str">
        <f t="shared" si="78"/>
        <v/>
      </c>
      <c r="D100" t="s">
        <v>32</v>
      </c>
      <c r="E100" s="48" t="str">
        <f t="shared" si="72"/>
        <v>FB</v>
      </c>
      <c r="F100" s="36">
        <f>ROUND((H89*F99^2+E89)^0.5,0)</f>
        <v>251</v>
      </c>
      <c r="G100" s="48" t="str">
        <f t="shared" si="73"/>
        <v>D7</v>
      </c>
      <c r="H100" s="36">
        <f>ROUND((H89*H99^2+E89)^0.5,0)</f>
        <v>215</v>
      </c>
      <c r="I100" s="48" t="str">
        <f t="shared" si="74"/>
        <v>C8</v>
      </c>
      <c r="J100" s="36">
        <f>ROUND((H89*J99^2+E89)^0.5,0)</f>
        <v>200</v>
      </c>
      <c r="K100" s="36"/>
      <c r="M100" s="14">
        <v>10</v>
      </c>
      <c r="N100" s="73" t="str">
        <f t="shared" si="79"/>
        <v/>
      </c>
      <c r="O100" t="s">
        <v>75</v>
      </c>
      <c r="P100" s="48" t="str">
        <f t="shared" si="75"/>
        <v>DF</v>
      </c>
      <c r="Q100" s="36">
        <f>ROUND((S89*Q99^2+P89)^0.5,0)</f>
        <v>223</v>
      </c>
      <c r="R100" s="48" t="str">
        <f t="shared" si="76"/>
        <v>E7</v>
      </c>
      <c r="S100" s="36">
        <f>ROUND((S89*S99^2+P89)^0.5,0)</f>
        <v>231</v>
      </c>
      <c r="T100" s="48" t="str">
        <f t="shared" si="77"/>
        <v>F1</v>
      </c>
      <c r="U100" s="36">
        <f>ROUND((S89*U99^2+P89)^0.5,0)</f>
        <v>241</v>
      </c>
    </row>
    <row r="101" spans="1:21" x14ac:dyDescent="0.3">
      <c r="B101" s="14">
        <v>11</v>
      </c>
      <c r="C101" s="28" t="str">
        <f t="shared" si="78"/>
        <v/>
      </c>
      <c r="D101" t="s">
        <v>33</v>
      </c>
      <c r="E101" s="48" t="str">
        <f t="shared" si="72"/>
        <v>FB</v>
      </c>
      <c r="F101" s="36">
        <f>ROUND((H89*F100^2+E89)^0.5,0)</f>
        <v>251</v>
      </c>
      <c r="G101" s="48" t="str">
        <f t="shared" si="73"/>
        <v>DB</v>
      </c>
      <c r="H101" s="36">
        <f>ROUND((H89*H100^2+E89)^0.5,0)</f>
        <v>219</v>
      </c>
      <c r="I101" s="48" t="str">
        <f t="shared" si="74"/>
        <v>CE</v>
      </c>
      <c r="J101" s="36">
        <f>ROUND((H89*J100^2+E89)^0.5,0)</f>
        <v>206</v>
      </c>
      <c r="K101" s="36"/>
      <c r="M101" s="14">
        <v>11</v>
      </c>
      <c r="N101" s="75" t="str">
        <f t="shared" si="79"/>
        <v/>
      </c>
      <c r="O101" t="s">
        <v>77</v>
      </c>
      <c r="P101" s="48" t="str">
        <f t="shared" si="75"/>
        <v>E4</v>
      </c>
      <c r="Q101" s="36">
        <f>ROUND((S89*Q100^2+P89)^0.5,0)</f>
        <v>228</v>
      </c>
      <c r="R101" s="48" t="str">
        <f t="shared" si="76"/>
        <v>EB</v>
      </c>
      <c r="S101" s="36">
        <f>ROUND((S89*S100^2+P89)^0.5,0)</f>
        <v>235</v>
      </c>
      <c r="T101" s="48" t="str">
        <f t="shared" si="77"/>
        <v>F3</v>
      </c>
      <c r="U101" s="36">
        <f>ROUND((S89*U100^2+P89)^0.5,0)</f>
        <v>243</v>
      </c>
    </row>
    <row r="102" spans="1:21" x14ac:dyDescent="0.3">
      <c r="B102" s="14">
        <v>12</v>
      </c>
      <c r="C102" s="16" t="str">
        <f t="shared" si="78"/>
        <v/>
      </c>
      <c r="D102" t="s">
        <v>21</v>
      </c>
      <c r="E102" s="48" t="str">
        <f t="shared" si="72"/>
        <v>FB</v>
      </c>
      <c r="F102" s="36">
        <f>ROUND((H89*F101^2+E89)^0.5,0)</f>
        <v>251</v>
      </c>
      <c r="G102" s="48" t="str">
        <f t="shared" si="73"/>
        <v>DF</v>
      </c>
      <c r="H102" s="36">
        <f>ROUND((H89*H101^2+E89)^0.5,0)</f>
        <v>223</v>
      </c>
      <c r="I102" s="48" t="str">
        <f t="shared" si="74"/>
        <v>D3</v>
      </c>
      <c r="J102" s="36">
        <f>ROUND((H89*J101^2+E89)^0.5,0)</f>
        <v>211</v>
      </c>
      <c r="K102" s="36"/>
      <c r="M102" s="14">
        <v>12</v>
      </c>
      <c r="N102" s="74" t="str">
        <f t="shared" si="79"/>
        <v/>
      </c>
      <c r="O102" t="s">
        <v>76</v>
      </c>
      <c r="P102" s="48" t="str">
        <f t="shared" si="75"/>
        <v>E8</v>
      </c>
      <c r="Q102" s="36">
        <f>ROUND((S89*Q101^2+P89)^0.5,0)</f>
        <v>232</v>
      </c>
      <c r="R102" s="48" t="str">
        <f t="shared" si="76"/>
        <v>EE</v>
      </c>
      <c r="S102" s="36">
        <f>ROUND((S89*S101^2+P89)^0.5,0)</f>
        <v>238</v>
      </c>
      <c r="T102" s="48" t="str">
        <f t="shared" si="77"/>
        <v>F5</v>
      </c>
      <c r="U102" s="36">
        <f>ROUND((S89*U101^2+P89)^0.5,0)</f>
        <v>245</v>
      </c>
    </row>
    <row r="103" spans="1:21" x14ac:dyDescent="0.3">
      <c r="B103" s="14">
        <v>13</v>
      </c>
      <c r="C103" s="29" t="str">
        <f>SetIt(C103, E103, G103, I103, "#" &amp; _xlfn.CONCAT(E103,G103,I103))</f>
        <v/>
      </c>
      <c r="D103" t="s">
        <v>34</v>
      </c>
      <c r="E103" s="48" t="str">
        <f t="shared" si="72"/>
        <v>FB</v>
      </c>
      <c r="F103" s="36">
        <f>ROUND((H89*F102^2+E89)^0.5,0)</f>
        <v>251</v>
      </c>
      <c r="G103" s="48" t="str">
        <f t="shared" si="73"/>
        <v>E2</v>
      </c>
      <c r="H103" s="36">
        <f>ROUND((H89*H102^2+E89)^0.5,0)</f>
        <v>226</v>
      </c>
      <c r="I103" s="48" t="str">
        <f t="shared" si="74"/>
        <v>D8</v>
      </c>
      <c r="J103" s="36">
        <f>ROUND((H89*J102^2+E89)^0.5,0)</f>
        <v>216</v>
      </c>
      <c r="K103" s="36"/>
      <c r="M103" s="14">
        <v>13</v>
      </c>
      <c r="N103" s="77" t="str">
        <f t="shared" si="79"/>
        <v/>
      </c>
      <c r="O103" t="s">
        <v>79</v>
      </c>
      <c r="P103" s="48" t="str">
        <f t="shared" si="75"/>
        <v>EC</v>
      </c>
      <c r="Q103" s="36">
        <f>ROUND((S89*Q102^2+P89)^0.5,0)</f>
        <v>236</v>
      </c>
      <c r="R103" s="48" t="str">
        <f t="shared" si="76"/>
        <v>F1</v>
      </c>
      <c r="S103" s="36">
        <f>ROUND((S89*S102^2+P89)^0.5,0)</f>
        <v>241</v>
      </c>
      <c r="T103" s="48" t="str">
        <f t="shared" si="77"/>
        <v>F7</v>
      </c>
      <c r="U103" s="36">
        <f>ROUND((S89*U102^2+P89)^0.5,0)</f>
        <v>247</v>
      </c>
    </row>
    <row r="104" spans="1:21" x14ac:dyDescent="0.3">
      <c r="B104" s="14">
        <v>14</v>
      </c>
      <c r="C104" s="30" t="str">
        <f>SetIt(C104, E104, G104, I104, "#" &amp; _xlfn.CONCAT(E104,G104,I104))</f>
        <v/>
      </c>
      <c r="D104" t="s">
        <v>35</v>
      </c>
      <c r="E104" s="48" t="str">
        <f t="shared" si="72"/>
        <v>FB</v>
      </c>
      <c r="F104" s="36">
        <f>ROUND((H89*F103^2+E89)^0.5,0)</f>
        <v>251</v>
      </c>
      <c r="G104" s="48" t="str">
        <f t="shared" si="73"/>
        <v>E5</v>
      </c>
      <c r="H104" s="36">
        <f>ROUND((H89*H103^2+E89)^0.5,0)</f>
        <v>229</v>
      </c>
      <c r="I104" s="48" t="str">
        <f t="shared" si="74"/>
        <v>DC</v>
      </c>
      <c r="J104" s="36">
        <f>ROUND((H89*J103^2+E89)^0.5,0)</f>
        <v>220</v>
      </c>
      <c r="K104" s="36"/>
      <c r="M104" s="14">
        <v>14</v>
      </c>
      <c r="N104" s="76" t="str">
        <f t="shared" si="79"/>
        <v/>
      </c>
      <c r="O104" t="s">
        <v>78</v>
      </c>
      <c r="P104" s="48" t="str">
        <f t="shared" si="75"/>
        <v>EF</v>
      </c>
      <c r="Q104" s="36">
        <f>ROUND((S89*Q103^2+P89)^0.5,0)</f>
        <v>239</v>
      </c>
      <c r="R104" s="48" t="str">
        <f t="shared" si="76"/>
        <v>F3</v>
      </c>
      <c r="S104" s="36">
        <f>ROUND((S89*S103^2+P89)^0.5,0)</f>
        <v>243</v>
      </c>
      <c r="T104" s="48" t="str">
        <f t="shared" si="77"/>
        <v>F8</v>
      </c>
      <c r="U104" s="36">
        <f>ROUND((S89*U103^2+P89)^0.5,0)</f>
        <v>248</v>
      </c>
    </row>
    <row r="105" spans="1:21" x14ac:dyDescent="0.3">
      <c r="B105" s="14">
        <v>15</v>
      </c>
      <c r="C105" s="32" t="str">
        <f>SetIt(C105, E105, G105, I105, "#" &amp; _xlfn.CONCAT(E105,G105,I105))</f>
        <v/>
      </c>
      <c r="D105" t="s">
        <v>37</v>
      </c>
      <c r="E105" s="48" t="str">
        <f t="shared" si="72"/>
        <v>FB</v>
      </c>
      <c r="F105" s="36">
        <f>ROUND((H89*F104^2+E89)^0.5,0)</f>
        <v>251</v>
      </c>
      <c r="G105" s="48" t="str">
        <f t="shared" si="73"/>
        <v>E8</v>
      </c>
      <c r="H105" s="36">
        <f>ROUND((H89*H104^2+E89)^0.5,0)</f>
        <v>232</v>
      </c>
      <c r="I105" s="48" t="str">
        <f t="shared" si="74"/>
        <v>E0</v>
      </c>
      <c r="J105" s="36">
        <f>ROUND((H89*J104^2+E89)^0.5,0)</f>
        <v>224</v>
      </c>
      <c r="K105" s="36"/>
      <c r="M105" s="14">
        <v>15</v>
      </c>
      <c r="N105" s="78" t="str">
        <f t="shared" si="79"/>
        <v/>
      </c>
      <c r="O105" t="s">
        <v>80</v>
      </c>
      <c r="P105" s="48" t="str">
        <f t="shared" si="75"/>
        <v>F1</v>
      </c>
      <c r="Q105" s="36">
        <f>ROUND((S89*Q104^2+P89)^0.5,0)</f>
        <v>241</v>
      </c>
      <c r="R105" s="48" t="str">
        <f t="shared" si="76"/>
        <v>F5</v>
      </c>
      <c r="S105" s="36">
        <f>ROUND((S89*S104^2+P89)^0.5,0)</f>
        <v>245</v>
      </c>
      <c r="T105" s="48" t="str">
        <f t="shared" si="77"/>
        <v>F9</v>
      </c>
      <c r="U105" s="36">
        <f>ROUND((S89*U104^2+P89)^0.5,0)</f>
        <v>249</v>
      </c>
    </row>
    <row r="106" spans="1:21" x14ac:dyDescent="0.3">
      <c r="B106" s="14">
        <v>16</v>
      </c>
      <c r="C106" s="31" t="str">
        <f>SetIt(C106, E106, G106, I106, "#" &amp; _xlfn.CONCAT(E106,G106,I106))</f>
        <v/>
      </c>
      <c r="D106" t="s">
        <v>36</v>
      </c>
      <c r="E106" s="48" t="str">
        <f t="shared" si="72"/>
        <v>FB</v>
      </c>
      <c r="F106" s="36">
        <f>ROUND((H89*F105^2+E89)^0.5,0)</f>
        <v>251</v>
      </c>
      <c r="G106" s="48" t="str">
        <f t="shared" si="73"/>
        <v>EA</v>
      </c>
      <c r="H106" s="36">
        <f>ROUND((H89*H105^2+E89)^0.5,0)</f>
        <v>234</v>
      </c>
      <c r="I106" s="48" t="str">
        <f t="shared" si="74"/>
        <v>E3</v>
      </c>
      <c r="J106" s="36">
        <f>ROUND((H89*J105^2+E89)^0.5,0)</f>
        <v>227</v>
      </c>
      <c r="K106" s="36"/>
      <c r="M106" s="14">
        <v>16</v>
      </c>
      <c r="N106" s="79" t="str">
        <f t="shared" si="79"/>
        <v/>
      </c>
      <c r="O106" t="s">
        <v>81</v>
      </c>
      <c r="P106" s="48" t="str">
        <f t="shared" si="75"/>
        <v>F3</v>
      </c>
      <c r="Q106" s="36">
        <f>ROUND((S89*Q105^2+P89)^0.5,0)</f>
        <v>243</v>
      </c>
      <c r="R106" s="48" t="str">
        <f t="shared" si="76"/>
        <v>F7</v>
      </c>
      <c r="S106" s="36">
        <f>ROUND((S89*S105^2+P89)^0.5,0)</f>
        <v>247</v>
      </c>
      <c r="T106" s="48" t="str">
        <f t="shared" si="77"/>
        <v>FA</v>
      </c>
      <c r="U106" s="36">
        <f>ROUND((S89*U105^2+P89)^0.5,0)</f>
        <v>250</v>
      </c>
    </row>
    <row r="112" spans="1:21" x14ac:dyDescent="0.3">
      <c r="A112" t="s">
        <v>18</v>
      </c>
      <c r="E112" s="13" t="s">
        <v>0</v>
      </c>
      <c r="G112" s="13" t="s">
        <v>1</v>
      </c>
      <c r="I112" s="13" t="s">
        <v>2</v>
      </c>
      <c r="L112" t="s">
        <v>3</v>
      </c>
      <c r="M112" t="s">
        <v>6</v>
      </c>
      <c r="N112" t="s">
        <v>4</v>
      </c>
      <c r="O112" t="s">
        <v>5</v>
      </c>
    </row>
    <row r="113" spans="1:23" x14ac:dyDescent="0.3">
      <c r="A113" t="s">
        <v>106</v>
      </c>
      <c r="B113" s="14">
        <v>1</v>
      </c>
      <c r="C113" s="17" t="str">
        <f>SetIt(C113, E113, G113, I113, "#" &amp; _xlfn.CONCAT(E113,G113,I113))</f>
        <v/>
      </c>
      <c r="D113" t="s">
        <v>22</v>
      </c>
      <c r="E113" s="48" t="str">
        <f>IF(F113&lt;16,"0","")&amp;DEC2HEX(F113)</f>
        <v>F4</v>
      </c>
      <c r="F113" s="36">
        <v>244</v>
      </c>
      <c r="G113" s="48" t="str">
        <f>IF(H113&lt;16,"0","")&amp;DEC2HEX(H113)</f>
        <v>80</v>
      </c>
      <c r="H113" s="36">
        <v>128</v>
      </c>
      <c r="I113" s="48" t="str">
        <f>IF(J113&lt;16,"0","")&amp;DEC2HEX(J113)</f>
        <v>00</v>
      </c>
      <c r="J113" s="36">
        <v>0</v>
      </c>
      <c r="V113" s="34">
        <v>0.06</v>
      </c>
      <c r="W113" s="34">
        <v>-0.06</v>
      </c>
    </row>
    <row r="114" spans="1:23" x14ac:dyDescent="0.3">
      <c r="A114" t="s">
        <v>107</v>
      </c>
      <c r="B114" s="14">
        <v>2</v>
      </c>
      <c r="C114" s="108" t="str">
        <f>SetIt(C114, E114, G114, I114, "#" &amp; _xlfn.CONCAT(E114,G114,I114))</f>
        <v/>
      </c>
      <c r="D114" t="s">
        <v>108</v>
      </c>
      <c r="E114" s="48" t="str">
        <f>IF(F114&lt;16,"0","")&amp;DEC2HEX(F114)</f>
        <v>F5</v>
      </c>
      <c r="F114" s="36">
        <f>ROUND((O114*F113^2+N114)^0.5,0)</f>
        <v>245</v>
      </c>
      <c r="G114" s="48" t="str">
        <f>IF(H114&lt;16,"0","")&amp;DEC2HEX(H114)</f>
        <v>8E</v>
      </c>
      <c r="H114" s="36">
        <f>ROUND((O114*H113^2+N114)^0.5,0)</f>
        <v>142</v>
      </c>
      <c r="I114" s="48" t="str">
        <f>IF(J114&lt;16,"0","")&amp;DEC2HEX(J114)</f>
        <v>48</v>
      </c>
      <c r="J114" s="36">
        <f>ROUND((O114*J113^2+N114)^0.5,0)</f>
        <v>72</v>
      </c>
      <c r="L114" s="34">
        <v>0.08</v>
      </c>
      <c r="M114" t="b">
        <f>(L114&lt;0)</f>
        <v>0</v>
      </c>
      <c r="N114" s="1">
        <f>IF(M114,0,L114*255^2)</f>
        <v>5202</v>
      </c>
      <c r="O114" s="1">
        <f>IF(M114,1+L114,1-L114)</f>
        <v>0.92</v>
      </c>
      <c r="P114" s="1"/>
      <c r="R114" s="1"/>
      <c r="S114" s="1"/>
      <c r="V114" s="34">
        <v>0.08</v>
      </c>
      <c r="W114" s="34">
        <v>-0.08</v>
      </c>
    </row>
    <row r="115" spans="1:23" x14ac:dyDescent="0.3">
      <c r="B115" s="14">
        <v>3</v>
      </c>
      <c r="C115" s="109" t="str">
        <f>SetIt(C115, E115, G115, I115, "#" &amp; _xlfn.CONCAT(E115,G115,I115))</f>
        <v/>
      </c>
      <c r="D115" t="s">
        <v>109</v>
      </c>
      <c r="E115" s="48" t="str">
        <f t="shared" ref="E115:E128" si="80">IF(F115&lt;16,"0","")&amp;DEC2HEX(F115)</f>
        <v>F6</v>
      </c>
      <c r="F115" s="36">
        <f t="shared" ref="F115:F128" si="81">ROUND((O115*F114^2+N115)^0.5,0)</f>
        <v>246</v>
      </c>
      <c r="G115" s="48" t="str">
        <f t="shared" ref="G115:G128" si="82">IF(H115&lt;16,"0","")&amp;DEC2HEX(H115)</f>
        <v>A3</v>
      </c>
      <c r="H115" s="36">
        <f t="shared" ref="H115:H128" si="83">ROUND((O115*H114^2+N115)^0.5,0)</f>
        <v>163</v>
      </c>
      <c r="I115" s="48" t="str">
        <f t="shared" ref="I115:I128" si="84">IF(J115&lt;16,"0","")&amp;DEC2HEX(J115)</f>
        <v>74</v>
      </c>
      <c r="J115" s="36">
        <f t="shared" ref="J115:J128" si="85">ROUND((O115*J114^2+N115)^0.5,0)</f>
        <v>116</v>
      </c>
      <c r="L115" s="34">
        <v>0.14000000000000001</v>
      </c>
      <c r="M115" t="b">
        <f>(L115&lt;0)</f>
        <v>0</v>
      </c>
      <c r="N115" s="1">
        <f>IF(M115,0,L115*255^2)</f>
        <v>9103.5</v>
      </c>
      <c r="O115" s="1">
        <f>IF(M115,1+L115,1-L115)</f>
        <v>0.86</v>
      </c>
      <c r="V115" s="34">
        <f>V114+V$113</f>
        <v>0.14000000000000001</v>
      </c>
      <c r="W115" s="34">
        <f>W114+W$113</f>
        <v>-0.14000000000000001</v>
      </c>
    </row>
    <row r="116" spans="1:23" x14ac:dyDescent="0.3">
      <c r="B116" s="14">
        <v>4</v>
      </c>
      <c r="C116" s="110" t="str">
        <f t="shared" ref="C116:C128" si="86">SetIt(C116, E116, G116, I116, "#" &amp; _xlfn.CONCAT(E116,G116,I116))</f>
        <v/>
      </c>
      <c r="D116" t="s">
        <v>110</v>
      </c>
      <c r="E116" s="48" t="str">
        <f t="shared" si="80"/>
        <v>F8</v>
      </c>
      <c r="F116" s="36">
        <f t="shared" si="81"/>
        <v>248</v>
      </c>
      <c r="G116" s="48" t="str">
        <f t="shared" si="82"/>
        <v>B9</v>
      </c>
      <c r="H116" s="36">
        <f t="shared" si="83"/>
        <v>185</v>
      </c>
      <c r="I116" s="48" t="str">
        <f t="shared" si="84"/>
        <v>9A</v>
      </c>
      <c r="J116" s="36">
        <f t="shared" si="85"/>
        <v>154</v>
      </c>
      <c r="L116" s="34">
        <v>0.2</v>
      </c>
      <c r="M116" t="b">
        <f t="shared" ref="M116:M128" si="87">(L116&lt;0)</f>
        <v>0</v>
      </c>
      <c r="N116" s="1">
        <f t="shared" ref="N116:N128" si="88">IF(M116,0,L116*255^2)</f>
        <v>13005</v>
      </c>
      <c r="O116" s="1">
        <f t="shared" ref="O116:O128" si="89">IF(M116,1+L116,1-L116)</f>
        <v>0.8</v>
      </c>
      <c r="V116" s="34">
        <f t="shared" ref="V116:V128" si="90">V115+V$113</f>
        <v>0.2</v>
      </c>
      <c r="W116" s="34">
        <f t="shared" ref="W116:W128" si="91">W115+W$113</f>
        <v>-0.2</v>
      </c>
    </row>
    <row r="117" spans="1:23" x14ac:dyDescent="0.3">
      <c r="B117" s="14">
        <v>5</v>
      </c>
      <c r="C117" s="18" t="str">
        <f t="shared" si="86"/>
        <v/>
      </c>
      <c r="D117" t="s">
        <v>23</v>
      </c>
      <c r="E117" s="48" t="str">
        <f t="shared" si="80"/>
        <v>FA</v>
      </c>
      <c r="F117" s="36">
        <f t="shared" si="81"/>
        <v>250</v>
      </c>
      <c r="G117" s="48" t="str">
        <f t="shared" si="82"/>
        <v>CE</v>
      </c>
      <c r="H117" s="36">
        <f t="shared" si="83"/>
        <v>206</v>
      </c>
      <c r="I117" s="48" t="str">
        <f t="shared" si="84"/>
        <v>BA</v>
      </c>
      <c r="J117" s="36">
        <f t="shared" si="85"/>
        <v>186</v>
      </c>
      <c r="L117" s="34">
        <v>0.26</v>
      </c>
      <c r="M117" t="b">
        <f t="shared" si="87"/>
        <v>0</v>
      </c>
      <c r="N117" s="1">
        <f t="shared" si="88"/>
        <v>16906.5</v>
      </c>
      <c r="O117" s="1">
        <f t="shared" si="89"/>
        <v>0.74</v>
      </c>
      <c r="V117" s="34">
        <f t="shared" si="90"/>
        <v>0.26</v>
      </c>
      <c r="W117" s="34">
        <f t="shared" si="91"/>
        <v>-0.26</v>
      </c>
    </row>
    <row r="118" spans="1:23" x14ac:dyDescent="0.3">
      <c r="B118" s="14">
        <v>6</v>
      </c>
      <c r="C118" s="112" t="str">
        <f t="shared" si="86"/>
        <v/>
      </c>
      <c r="D118" t="s">
        <v>112</v>
      </c>
      <c r="E118" s="48" t="str">
        <f t="shared" si="80"/>
        <v>FC</v>
      </c>
      <c r="F118" s="36">
        <f t="shared" si="81"/>
        <v>252</v>
      </c>
      <c r="G118" s="48" t="str">
        <f t="shared" si="82"/>
        <v>DF</v>
      </c>
      <c r="H118" s="36">
        <f t="shared" si="83"/>
        <v>223</v>
      </c>
      <c r="I118" s="48" t="str">
        <f t="shared" si="84"/>
        <v>D3</v>
      </c>
      <c r="J118" s="36">
        <f t="shared" si="85"/>
        <v>211</v>
      </c>
      <c r="L118" s="34">
        <v>0.32</v>
      </c>
      <c r="M118" t="b">
        <f t="shared" si="87"/>
        <v>0</v>
      </c>
      <c r="N118" s="1">
        <f t="shared" si="88"/>
        <v>20808</v>
      </c>
      <c r="O118" s="1">
        <f t="shared" si="89"/>
        <v>0.67999999999999994</v>
      </c>
      <c r="V118" s="34">
        <f t="shared" si="90"/>
        <v>0.32</v>
      </c>
      <c r="W118" s="34">
        <f t="shared" si="91"/>
        <v>-0.32</v>
      </c>
    </row>
    <row r="119" spans="1:23" x14ac:dyDescent="0.3">
      <c r="B119" s="14">
        <v>7</v>
      </c>
      <c r="C119" s="111" t="str">
        <f t="shared" si="86"/>
        <v/>
      </c>
      <c r="D119" t="s">
        <v>111</v>
      </c>
      <c r="E119" s="48" t="str">
        <f t="shared" si="80"/>
        <v>FD</v>
      </c>
      <c r="F119" s="36">
        <f t="shared" si="81"/>
        <v>253</v>
      </c>
      <c r="G119" s="48" t="str">
        <f t="shared" si="82"/>
        <v>EC</v>
      </c>
      <c r="H119" s="36">
        <f t="shared" si="83"/>
        <v>236</v>
      </c>
      <c r="I119" s="48" t="str">
        <f t="shared" si="84"/>
        <v>E5</v>
      </c>
      <c r="J119" s="36">
        <f t="shared" si="85"/>
        <v>229</v>
      </c>
      <c r="L119" s="34">
        <v>0.38</v>
      </c>
      <c r="M119" t="b">
        <f t="shared" si="87"/>
        <v>0</v>
      </c>
      <c r="N119" s="1">
        <f t="shared" si="88"/>
        <v>24709.5</v>
      </c>
      <c r="O119" s="1">
        <f t="shared" si="89"/>
        <v>0.62</v>
      </c>
      <c r="V119" s="34">
        <f t="shared" si="90"/>
        <v>0.38</v>
      </c>
      <c r="W119" s="34">
        <f t="shared" si="91"/>
        <v>-0.38</v>
      </c>
    </row>
    <row r="120" spans="1:23" x14ac:dyDescent="0.3">
      <c r="B120" s="14">
        <v>8</v>
      </c>
      <c r="C120" s="113" t="str">
        <f t="shared" si="86"/>
        <v/>
      </c>
      <c r="D120" t="s">
        <v>113</v>
      </c>
      <c r="E120" s="48" t="str">
        <f t="shared" si="80"/>
        <v>FE</v>
      </c>
      <c r="F120" s="36">
        <f t="shared" si="81"/>
        <v>254</v>
      </c>
      <c r="G120" s="48" t="str">
        <f t="shared" si="82"/>
        <v>F5</v>
      </c>
      <c r="H120" s="36">
        <f t="shared" si="83"/>
        <v>245</v>
      </c>
      <c r="I120" s="48" t="str">
        <f t="shared" si="84"/>
        <v>F1</v>
      </c>
      <c r="J120" s="36">
        <f t="shared" si="85"/>
        <v>241</v>
      </c>
      <c r="L120" s="34">
        <v>0.44</v>
      </c>
      <c r="M120" t="b">
        <f t="shared" si="87"/>
        <v>0</v>
      </c>
      <c r="N120" s="1">
        <f t="shared" si="88"/>
        <v>28611</v>
      </c>
      <c r="O120" s="1">
        <f t="shared" si="89"/>
        <v>0.56000000000000005</v>
      </c>
      <c r="V120" s="34">
        <f t="shared" si="90"/>
        <v>0.44</v>
      </c>
      <c r="W120" s="34">
        <f t="shared" si="91"/>
        <v>-0.44</v>
      </c>
    </row>
    <row r="121" spans="1:23" x14ac:dyDescent="0.3">
      <c r="B121" s="14">
        <v>9</v>
      </c>
      <c r="C121" s="114" t="str">
        <f t="shared" si="86"/>
        <v/>
      </c>
      <c r="D121" t="s">
        <v>114</v>
      </c>
      <c r="E121" s="48" t="str">
        <f t="shared" si="80"/>
        <v>FF</v>
      </c>
      <c r="F121" s="36">
        <f t="shared" si="81"/>
        <v>255</v>
      </c>
      <c r="G121" s="48" t="str">
        <f t="shared" si="82"/>
        <v>FA</v>
      </c>
      <c r="H121" s="36">
        <f t="shared" si="83"/>
        <v>250</v>
      </c>
      <c r="I121" s="48" t="str">
        <f t="shared" si="84"/>
        <v>F8</v>
      </c>
      <c r="J121" s="36">
        <f t="shared" si="85"/>
        <v>248</v>
      </c>
      <c r="L121" s="34">
        <v>0.5</v>
      </c>
      <c r="M121" t="b">
        <f t="shared" si="87"/>
        <v>0</v>
      </c>
      <c r="N121" s="1">
        <f t="shared" si="88"/>
        <v>32512.5</v>
      </c>
      <c r="O121" s="1">
        <f t="shared" si="89"/>
        <v>0.5</v>
      </c>
      <c r="V121" s="34">
        <f t="shared" si="90"/>
        <v>0.5</v>
      </c>
      <c r="W121" s="34">
        <f t="shared" si="91"/>
        <v>-0.5</v>
      </c>
    </row>
    <row r="122" spans="1:23" x14ac:dyDescent="0.3">
      <c r="B122" s="14">
        <v>10</v>
      </c>
      <c r="C122" s="115" t="str">
        <f t="shared" si="86"/>
        <v/>
      </c>
      <c r="D122" t="s">
        <v>115</v>
      </c>
      <c r="E122" s="48" t="str">
        <f t="shared" si="80"/>
        <v>FF</v>
      </c>
      <c r="F122" s="36">
        <f t="shared" si="81"/>
        <v>255</v>
      </c>
      <c r="G122" s="48" t="str">
        <f t="shared" si="82"/>
        <v>FD</v>
      </c>
      <c r="H122" s="36">
        <f t="shared" si="83"/>
        <v>253</v>
      </c>
      <c r="I122" s="48" t="str">
        <f t="shared" si="84"/>
        <v>FC</v>
      </c>
      <c r="J122" s="36">
        <f t="shared" si="85"/>
        <v>252</v>
      </c>
      <c r="L122" s="34">
        <v>0.56000000000000005</v>
      </c>
      <c r="M122" t="b">
        <f t="shared" si="87"/>
        <v>0</v>
      </c>
      <c r="N122" s="1">
        <f t="shared" si="88"/>
        <v>36414</v>
      </c>
      <c r="O122" s="1">
        <f t="shared" si="89"/>
        <v>0.43999999999999995</v>
      </c>
      <c r="V122" s="34">
        <f t="shared" si="90"/>
        <v>0.56000000000000005</v>
      </c>
      <c r="W122" s="34">
        <f t="shared" si="91"/>
        <v>-0.56000000000000005</v>
      </c>
    </row>
    <row r="123" spans="1:23" x14ac:dyDescent="0.3">
      <c r="B123" s="14">
        <v>11</v>
      </c>
      <c r="C123" s="116" t="str">
        <f t="shared" si="86"/>
        <v/>
      </c>
      <c r="D123" t="s">
        <v>116</v>
      </c>
      <c r="E123" s="48" t="str">
        <f t="shared" si="80"/>
        <v>FF</v>
      </c>
      <c r="F123" s="36">
        <f t="shared" si="81"/>
        <v>255</v>
      </c>
      <c r="G123" s="48" t="str">
        <f t="shared" si="82"/>
        <v>FE</v>
      </c>
      <c r="H123" s="36">
        <f t="shared" si="83"/>
        <v>254</v>
      </c>
      <c r="I123" s="48" t="str">
        <f t="shared" si="84"/>
        <v>FE</v>
      </c>
      <c r="J123" s="36">
        <f t="shared" si="85"/>
        <v>254</v>
      </c>
      <c r="L123" s="34">
        <v>0.62000000000000011</v>
      </c>
      <c r="M123" t="b">
        <f t="shared" si="87"/>
        <v>0</v>
      </c>
      <c r="N123" s="1">
        <f t="shared" si="88"/>
        <v>40315.500000000007</v>
      </c>
      <c r="O123" s="1">
        <f t="shared" si="89"/>
        <v>0.37999999999999989</v>
      </c>
      <c r="V123" s="34">
        <f t="shared" si="90"/>
        <v>0.62000000000000011</v>
      </c>
      <c r="W123" s="34">
        <f t="shared" si="91"/>
        <v>-0.62000000000000011</v>
      </c>
    </row>
    <row r="124" spans="1:23" x14ac:dyDescent="0.3">
      <c r="B124" s="14">
        <v>12</v>
      </c>
      <c r="C124" s="90" t="str">
        <f t="shared" si="86"/>
        <v/>
      </c>
      <c r="D124" t="s">
        <v>93</v>
      </c>
      <c r="E124" s="48" t="str">
        <f t="shared" si="80"/>
        <v>FF</v>
      </c>
      <c r="F124" s="36">
        <f t="shared" si="81"/>
        <v>255</v>
      </c>
      <c r="G124" s="48" t="str">
        <f t="shared" si="82"/>
        <v>FF</v>
      </c>
      <c r="H124" s="36">
        <f t="shared" si="83"/>
        <v>255</v>
      </c>
      <c r="I124" s="48" t="str">
        <f t="shared" si="84"/>
        <v>FF</v>
      </c>
      <c r="J124" s="36">
        <f t="shared" si="85"/>
        <v>255</v>
      </c>
      <c r="L124" s="34">
        <v>0.68000000000000016</v>
      </c>
      <c r="M124" t="b">
        <f t="shared" si="87"/>
        <v>0</v>
      </c>
      <c r="N124" s="1">
        <f t="shared" si="88"/>
        <v>44217.000000000007</v>
      </c>
      <c r="O124" s="1">
        <f t="shared" si="89"/>
        <v>0.31999999999999984</v>
      </c>
      <c r="V124" s="34">
        <f t="shared" si="90"/>
        <v>0.68000000000000016</v>
      </c>
      <c r="W124" s="34">
        <f t="shared" si="91"/>
        <v>-0.68000000000000016</v>
      </c>
    </row>
    <row r="125" spans="1:23" x14ac:dyDescent="0.3">
      <c r="B125" s="14">
        <v>13</v>
      </c>
      <c r="C125" s="90" t="str">
        <f t="shared" si="86"/>
        <v/>
      </c>
      <c r="D125" t="s">
        <v>93</v>
      </c>
      <c r="E125" s="48" t="str">
        <f t="shared" si="80"/>
        <v>FF</v>
      </c>
      <c r="F125" s="36">
        <f t="shared" si="81"/>
        <v>255</v>
      </c>
      <c r="G125" s="48" t="str">
        <f t="shared" si="82"/>
        <v>FF</v>
      </c>
      <c r="H125" s="36">
        <f t="shared" si="83"/>
        <v>255</v>
      </c>
      <c r="I125" s="48" t="str">
        <f t="shared" si="84"/>
        <v>FF</v>
      </c>
      <c r="J125" s="36">
        <f t="shared" si="85"/>
        <v>255</v>
      </c>
      <c r="L125" s="34">
        <v>0.74000000000000021</v>
      </c>
      <c r="M125" t="b">
        <f t="shared" si="87"/>
        <v>0</v>
      </c>
      <c r="N125" s="1">
        <f t="shared" si="88"/>
        <v>48118.500000000015</v>
      </c>
      <c r="O125" s="1">
        <f t="shared" si="89"/>
        <v>0.25999999999999979</v>
      </c>
      <c r="V125" s="34">
        <f t="shared" si="90"/>
        <v>0.74000000000000021</v>
      </c>
      <c r="W125" s="34">
        <f t="shared" si="91"/>
        <v>-0.74000000000000021</v>
      </c>
    </row>
    <row r="126" spans="1:23" x14ac:dyDescent="0.3">
      <c r="B126" s="14">
        <v>14</v>
      </c>
      <c r="C126" s="90" t="str">
        <f t="shared" si="86"/>
        <v/>
      </c>
      <c r="D126" t="s">
        <v>93</v>
      </c>
      <c r="E126" s="48" t="str">
        <f t="shared" si="80"/>
        <v>FF</v>
      </c>
      <c r="F126" s="36">
        <f t="shared" si="81"/>
        <v>255</v>
      </c>
      <c r="G126" s="48" t="str">
        <f t="shared" si="82"/>
        <v>FF</v>
      </c>
      <c r="H126" s="36">
        <f t="shared" si="83"/>
        <v>255</v>
      </c>
      <c r="I126" s="48" t="str">
        <f t="shared" si="84"/>
        <v>FF</v>
      </c>
      <c r="J126" s="36">
        <f t="shared" si="85"/>
        <v>255</v>
      </c>
      <c r="L126" s="34">
        <v>0.80000000000000027</v>
      </c>
      <c r="M126" t="b">
        <f t="shared" si="87"/>
        <v>0</v>
      </c>
      <c r="N126" s="1">
        <f t="shared" si="88"/>
        <v>52020.000000000015</v>
      </c>
      <c r="O126" s="1">
        <f t="shared" si="89"/>
        <v>0.19999999999999973</v>
      </c>
      <c r="V126" s="34">
        <f t="shared" si="90"/>
        <v>0.80000000000000027</v>
      </c>
      <c r="W126" s="34">
        <f t="shared" si="91"/>
        <v>-0.80000000000000027</v>
      </c>
    </row>
    <row r="127" spans="1:23" x14ac:dyDescent="0.3">
      <c r="B127" s="14">
        <v>15</v>
      </c>
      <c r="C127" s="90" t="str">
        <f t="shared" si="86"/>
        <v/>
      </c>
      <c r="D127" t="s">
        <v>93</v>
      </c>
      <c r="E127" s="48" t="str">
        <f t="shared" si="80"/>
        <v>FF</v>
      </c>
      <c r="F127" s="36">
        <f t="shared" si="81"/>
        <v>255</v>
      </c>
      <c r="G127" s="48" t="str">
        <f t="shared" si="82"/>
        <v>FF</v>
      </c>
      <c r="H127" s="36">
        <f t="shared" si="83"/>
        <v>255</v>
      </c>
      <c r="I127" s="48" t="str">
        <f t="shared" si="84"/>
        <v>FF</v>
      </c>
      <c r="J127" s="36">
        <f t="shared" si="85"/>
        <v>255</v>
      </c>
      <c r="L127" s="34">
        <v>0.86000000000000032</v>
      </c>
      <c r="M127" t="b">
        <f t="shared" si="87"/>
        <v>0</v>
      </c>
      <c r="N127" s="1">
        <f t="shared" si="88"/>
        <v>55921.500000000022</v>
      </c>
      <c r="O127" s="1">
        <f t="shared" si="89"/>
        <v>0.13999999999999968</v>
      </c>
      <c r="V127" s="34">
        <f t="shared" si="90"/>
        <v>0.86000000000000032</v>
      </c>
      <c r="W127" s="34">
        <f t="shared" si="91"/>
        <v>-0.86000000000000032</v>
      </c>
    </row>
    <row r="128" spans="1:23" x14ac:dyDescent="0.3">
      <c r="B128" s="14">
        <v>16</v>
      </c>
      <c r="C128" s="90" t="str">
        <f t="shared" si="86"/>
        <v/>
      </c>
      <c r="D128" t="s">
        <v>93</v>
      </c>
      <c r="E128" s="48" t="str">
        <f t="shared" si="80"/>
        <v>FF</v>
      </c>
      <c r="F128" s="36">
        <f t="shared" si="81"/>
        <v>255</v>
      </c>
      <c r="G128" s="48" t="str">
        <f t="shared" si="82"/>
        <v>FF</v>
      </c>
      <c r="H128" s="36">
        <f t="shared" si="83"/>
        <v>255</v>
      </c>
      <c r="I128" s="48" t="str">
        <f t="shared" si="84"/>
        <v>FF</v>
      </c>
      <c r="J128" s="36">
        <f t="shared" si="85"/>
        <v>255</v>
      </c>
      <c r="L128" s="34">
        <v>0.92000000000000037</v>
      </c>
      <c r="M128" t="b">
        <f t="shared" si="87"/>
        <v>0</v>
      </c>
      <c r="N128" s="1">
        <f t="shared" si="88"/>
        <v>59823.000000000022</v>
      </c>
      <c r="O128" s="1">
        <f t="shared" si="89"/>
        <v>7.9999999999999627E-2</v>
      </c>
      <c r="V128" s="34">
        <f t="shared" si="90"/>
        <v>0.92000000000000037</v>
      </c>
      <c r="W128" s="34">
        <f t="shared" si="91"/>
        <v>-0.92000000000000037</v>
      </c>
    </row>
  </sheetData>
  <mergeCells count="20">
    <mergeCell ref="P75:R75"/>
    <mergeCell ref="S75:U75"/>
    <mergeCell ref="P89:R89"/>
    <mergeCell ref="S89:U89"/>
    <mergeCell ref="P37:Q37"/>
    <mergeCell ref="P36:Q36"/>
    <mergeCell ref="R36:S36"/>
    <mergeCell ref="T36:U36"/>
    <mergeCell ref="R37:S37"/>
    <mergeCell ref="T37:U37"/>
    <mergeCell ref="E89:G89"/>
    <mergeCell ref="H75:J75"/>
    <mergeCell ref="E75:G75"/>
    <mergeCell ref="H89:J89"/>
    <mergeCell ref="E36:F36"/>
    <mergeCell ref="E37:F37"/>
    <mergeCell ref="G36:H36"/>
    <mergeCell ref="G37:H37"/>
    <mergeCell ref="I36:J36"/>
    <mergeCell ref="I37:J37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Color 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Stuyvesant</dc:creator>
  <cp:lastModifiedBy>Jeff Stuyvesant</cp:lastModifiedBy>
  <dcterms:created xsi:type="dcterms:W3CDTF">2019-04-22T04:55:29Z</dcterms:created>
  <dcterms:modified xsi:type="dcterms:W3CDTF">2019-04-26T16:51:01Z</dcterms:modified>
</cp:coreProperties>
</file>