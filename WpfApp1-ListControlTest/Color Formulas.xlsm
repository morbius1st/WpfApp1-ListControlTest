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Programming\VisualStudioProjects\WpfApp1-ListControlTest\WpfApp1-ListControlTest\"/>
    </mc:Choice>
  </mc:AlternateContent>
  <xr:revisionPtr revIDLastSave="0" documentId="13_ncr:1_{2C681101-235D-4438-8B05-3B577586300D}" xr6:coauthVersionLast="43" xr6:coauthVersionMax="43" xr10:uidLastSave="{00000000-0000-0000-0000-000000000000}"/>
  <bookViews>
    <workbookView xWindow="54492" yWindow="408" windowWidth="27660" windowHeight="21900" tabRatio="159" xr2:uid="{65D212B0-7C72-4F4B-A07B-11D2AF225BE5}"/>
  </bookViews>
  <sheets>
    <sheet name="Color Formul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3" i="2" l="1"/>
  <c r="M13" i="2" s="1"/>
  <c r="N13" i="2" l="1"/>
  <c r="O13" i="2"/>
  <c r="AI20" i="2"/>
  <c r="AI21" i="2"/>
  <c r="AJ21" i="2" s="1"/>
  <c r="AI22" i="2"/>
  <c r="AI23" i="2"/>
  <c r="AI24" i="2"/>
  <c r="AJ24" i="2" s="1"/>
  <c r="AI25" i="2"/>
  <c r="AI26" i="2"/>
  <c r="AJ26" i="2" s="1"/>
  <c r="AK26" i="2" s="1"/>
  <c r="AI27" i="2"/>
  <c r="AI28" i="2"/>
  <c r="AI29" i="2"/>
  <c r="AI19" i="2"/>
  <c r="AM21" i="2"/>
  <c r="AM24" i="2"/>
  <c r="AM26" i="2"/>
  <c r="I13" i="2" l="1"/>
  <c r="E13" i="2" s="1"/>
  <c r="J13" i="2"/>
  <c r="F13" i="2" s="1"/>
  <c r="K13" i="2"/>
  <c r="G13" i="2" s="1"/>
  <c r="AK21" i="2"/>
  <c r="AL21" i="2"/>
  <c r="AK24" i="2"/>
  <c r="AL24" i="2"/>
  <c r="AL26" i="2"/>
  <c r="J4" i="2"/>
  <c r="K4" i="2"/>
  <c r="I4" i="2"/>
  <c r="AJ29" i="2"/>
  <c r="AM29" i="2"/>
  <c r="AJ19" i="2"/>
  <c r="AM19" i="2"/>
  <c r="AM20" i="2"/>
  <c r="AM22" i="2"/>
  <c r="AM23" i="2"/>
  <c r="AM25" i="2"/>
  <c r="AM27" i="2"/>
  <c r="AM28" i="2"/>
  <c r="AI5" i="2"/>
  <c r="AJ5" i="2" s="1"/>
  <c r="AK5" i="2" s="1"/>
  <c r="AM5" i="2"/>
  <c r="AI6" i="2"/>
  <c r="AI7" i="2"/>
  <c r="AI8" i="2"/>
  <c r="AI9" i="2"/>
  <c r="AI10" i="2"/>
  <c r="AI11" i="2"/>
  <c r="AI12" i="2"/>
  <c r="AI13" i="2"/>
  <c r="AI14" i="2"/>
  <c r="AI15" i="2"/>
  <c r="AI16" i="2"/>
  <c r="AM6" i="2"/>
  <c r="AM7" i="2"/>
  <c r="AM8" i="2"/>
  <c r="AM9" i="2"/>
  <c r="AM10" i="2"/>
  <c r="AM11" i="2"/>
  <c r="AM12" i="2"/>
  <c r="AM13" i="2"/>
  <c r="AM14" i="2"/>
  <c r="AM15" i="2"/>
  <c r="AM16" i="2"/>
  <c r="AC18" i="2"/>
  <c r="AB18" i="2"/>
  <c r="AA18" i="2"/>
  <c r="AI17" i="2"/>
  <c r="AJ17" i="2" s="1"/>
  <c r="Y18" i="2"/>
  <c r="AK29" i="2" l="1"/>
  <c r="AL29" i="2"/>
  <c r="AL5" i="2"/>
  <c r="AJ20" i="2"/>
  <c r="AL20" i="2" s="1"/>
  <c r="AJ16" i="2"/>
  <c r="AL16" i="2" s="1"/>
  <c r="AL17" i="2"/>
  <c r="AK17" i="2"/>
  <c r="AK19" i="2"/>
  <c r="AL19" i="2"/>
  <c r="C13" i="2"/>
  <c r="AF17" i="2" l="1"/>
  <c r="AE17" i="2"/>
  <c r="AG17" i="2"/>
  <c r="AF19" i="2"/>
  <c r="AE19" i="2"/>
  <c r="AG19" i="2"/>
  <c r="AK20" i="2"/>
  <c r="AK16" i="2"/>
  <c r="AG20" i="2" l="1"/>
  <c r="AG21" i="2" s="1"/>
  <c r="AE20" i="2"/>
  <c r="AE21" i="2" s="1"/>
  <c r="AF20" i="2"/>
  <c r="AF21" i="2" s="1"/>
  <c r="AB21" i="2" s="1"/>
  <c r="AG16" i="2"/>
  <c r="AE16" i="2"/>
  <c r="AF16" i="2"/>
  <c r="AJ22" i="2"/>
  <c r="AL22" i="2" s="1"/>
  <c r="AJ15" i="2"/>
  <c r="AL15" i="2" s="1"/>
  <c r="AJ14" i="2"/>
  <c r="AB17" i="2"/>
  <c r="AB19" i="2"/>
  <c r="AC19" i="2"/>
  <c r="AJ23" i="2"/>
  <c r="AA17" i="2"/>
  <c r="AC17" i="2"/>
  <c r="AA19" i="2"/>
  <c r="Y17" i="2"/>
  <c r="Y19" i="2"/>
  <c r="AA21" i="2" l="1"/>
  <c r="AC21" i="2"/>
  <c r="AK22" i="2"/>
  <c r="AK15" i="2"/>
  <c r="AF15" i="2" s="1"/>
  <c r="AJ13" i="2"/>
  <c r="AK14" i="2"/>
  <c r="AL14" i="2"/>
  <c r="AA16" i="2"/>
  <c r="AB20" i="2"/>
  <c r="AK23" i="2"/>
  <c r="AL23" i="2"/>
  <c r="AB16" i="2"/>
  <c r="AC16" i="2"/>
  <c r="AA20" i="2"/>
  <c r="AJ25" i="2"/>
  <c r="AC20" i="2"/>
  <c r="Y20" i="2"/>
  <c r="Y21" i="2"/>
  <c r="AF14" i="2" l="1"/>
  <c r="AE22" i="2"/>
  <c r="AE23" i="2" s="1"/>
  <c r="AE24" i="2" s="1"/>
  <c r="AF22" i="2"/>
  <c r="AF23" i="2" s="1"/>
  <c r="AF24" i="2" s="1"/>
  <c r="AG22" i="2"/>
  <c r="AG23" i="2" s="1"/>
  <c r="AG24" i="2" s="1"/>
  <c r="AG15" i="2"/>
  <c r="AG14" i="2" s="1"/>
  <c r="AE15" i="2"/>
  <c r="AE14" i="2" s="1"/>
  <c r="AJ27" i="2"/>
  <c r="AL27" i="2" s="1"/>
  <c r="AJ28" i="2"/>
  <c r="AL13" i="2"/>
  <c r="AK13" i="2"/>
  <c r="AJ12" i="2"/>
  <c r="AL25" i="2"/>
  <c r="AK25" i="2"/>
  <c r="AB15" i="2"/>
  <c r="Y16" i="2"/>
  <c r="AB22" i="2" l="1"/>
  <c r="AF13" i="2"/>
  <c r="AG25" i="2"/>
  <c r="AG26" i="2" s="1"/>
  <c r="AC26" i="2" s="1"/>
  <c r="AF25" i="2"/>
  <c r="AF26" i="2" s="1"/>
  <c r="AE25" i="2"/>
  <c r="AE26" i="2" s="1"/>
  <c r="AB24" i="2"/>
  <c r="AE13" i="2"/>
  <c r="AA15" i="2"/>
  <c r="AG13" i="2"/>
  <c r="AC15" i="2"/>
  <c r="AA24" i="2"/>
  <c r="AC24" i="2"/>
  <c r="AC22" i="2"/>
  <c r="AA22" i="2"/>
  <c r="AK27" i="2"/>
  <c r="AK28" i="2"/>
  <c r="AL28" i="2"/>
  <c r="AJ11" i="2"/>
  <c r="AL12" i="2"/>
  <c r="AK12" i="2"/>
  <c r="AB23" i="2"/>
  <c r="AB14" i="2"/>
  <c r="AA23" i="2"/>
  <c r="Y22" i="2"/>
  <c r="Y24" i="2"/>
  <c r="AG12" i="2" l="1"/>
  <c r="AE27" i="2"/>
  <c r="AE28" i="2" s="1"/>
  <c r="AE29" i="2" s="1"/>
  <c r="AF27" i="2"/>
  <c r="AF28" i="2" s="1"/>
  <c r="AF29" i="2" s="1"/>
  <c r="AB26" i="2"/>
  <c r="AF12" i="2"/>
  <c r="AA26" i="2"/>
  <c r="AG27" i="2"/>
  <c r="AG28" i="2" s="1"/>
  <c r="AG29" i="2" s="1"/>
  <c r="AE12" i="2"/>
  <c r="AC23" i="2"/>
  <c r="AA14" i="2"/>
  <c r="AC14" i="2"/>
  <c r="AL11" i="2"/>
  <c r="AK11" i="2"/>
  <c r="AJ10" i="2"/>
  <c r="AB13" i="2"/>
  <c r="AC13" i="2"/>
  <c r="AB25" i="2"/>
  <c r="AA13" i="2"/>
  <c r="Y14" i="2"/>
  <c r="Y15" i="2"/>
  <c r="Y23" i="2"/>
  <c r="Y26" i="2"/>
  <c r="Y13" i="2"/>
  <c r="AF11" i="2" l="1"/>
  <c r="AE11" i="2"/>
  <c r="AG11" i="2"/>
  <c r="AA25" i="2"/>
  <c r="AC25" i="2"/>
  <c r="AB27" i="2"/>
  <c r="AC27" i="2"/>
  <c r="AA27" i="2"/>
  <c r="AL10" i="2"/>
  <c r="AK10" i="2"/>
  <c r="AJ9" i="2"/>
  <c r="AA12" i="2"/>
  <c r="AC12" i="2"/>
  <c r="AB12" i="2"/>
  <c r="Y25" i="2"/>
  <c r="Y12" i="2"/>
  <c r="Y27" i="2"/>
  <c r="AF10" i="2" l="1"/>
  <c r="AG10" i="2"/>
  <c r="AE10" i="2"/>
  <c r="AA28" i="2"/>
  <c r="AA29" i="2"/>
  <c r="AC28" i="2"/>
  <c r="AC29" i="2"/>
  <c r="AB28" i="2"/>
  <c r="AB29" i="2"/>
  <c r="AJ8" i="2"/>
  <c r="AK9" i="2"/>
  <c r="AL9" i="2"/>
  <c r="AA11" i="2"/>
  <c r="AB11" i="2"/>
  <c r="AC11" i="2"/>
  <c r="Y11" i="2"/>
  <c r="AF9" i="2" l="1"/>
  <c r="AE9" i="2"/>
  <c r="AG9" i="2"/>
  <c r="AJ6" i="2"/>
  <c r="AJ7" i="2"/>
  <c r="AL8" i="2"/>
  <c r="AK8" i="2"/>
  <c r="AC10" i="2"/>
  <c r="AA10" i="2"/>
  <c r="AB10" i="2"/>
  <c r="Y28" i="2"/>
  <c r="Y29" i="2"/>
  <c r="Y10" i="2"/>
  <c r="AF8" i="2" l="1"/>
  <c r="AG8" i="2"/>
  <c r="AE8" i="2"/>
  <c r="AL7" i="2"/>
  <c r="AK7" i="2"/>
  <c r="AK6" i="2"/>
  <c r="AL6" i="2"/>
  <c r="AC9" i="2"/>
  <c r="AB9" i="2"/>
  <c r="AA9" i="2"/>
  <c r="Y9" i="2"/>
  <c r="AF7" i="2" l="1"/>
  <c r="AF6" i="2" s="1"/>
  <c r="AF5" i="2" s="1"/>
  <c r="AE7" i="2"/>
  <c r="AE6" i="2" s="1"/>
  <c r="AE5" i="2" s="1"/>
  <c r="AG7" i="2"/>
  <c r="AG6" i="2" s="1"/>
  <c r="AG5" i="2" s="1"/>
  <c r="AC8" i="2"/>
  <c r="AA8" i="2"/>
  <c r="AB8" i="2"/>
  <c r="Y8" i="2"/>
  <c r="AC7" i="2" l="1"/>
  <c r="AB7" i="2"/>
  <c r="AA7" i="2"/>
  <c r="Y7" i="2"/>
  <c r="AB6" i="2" l="1"/>
  <c r="AB5" i="2"/>
  <c r="AA6" i="2"/>
  <c r="AA5" i="2"/>
  <c r="AC6" i="2"/>
  <c r="AC5" i="2"/>
  <c r="Y6" i="2"/>
  <c r="Y5" i="2"/>
  <c r="G18" i="2" l="1"/>
  <c r="F18" i="2"/>
  <c r="E18" i="2"/>
  <c r="C18" i="2"/>
  <c r="L19" i="2" l="1"/>
  <c r="L20" i="2" s="1"/>
  <c r="L21" i="2" s="1"/>
  <c r="L22" i="2" s="1"/>
  <c r="L23" i="2" s="1"/>
  <c r="L24" i="2" s="1"/>
  <c r="L17" i="2"/>
  <c r="L16" i="2" s="1"/>
  <c r="L15" i="2" s="1"/>
  <c r="L14" i="2" s="1"/>
  <c r="L12" i="2" s="1"/>
  <c r="L11" i="2" s="1"/>
  <c r="M117" i="2"/>
  <c r="N117" i="2" s="1"/>
  <c r="M118" i="2"/>
  <c r="O118" i="2" s="1"/>
  <c r="M119" i="2"/>
  <c r="N119" i="2" s="1"/>
  <c r="M120" i="2"/>
  <c r="N120" i="2" s="1"/>
  <c r="M121" i="2"/>
  <c r="N121" i="2" s="1"/>
  <c r="M122" i="2"/>
  <c r="O122" i="2" s="1"/>
  <c r="M123" i="2"/>
  <c r="N123" i="2" s="1"/>
  <c r="M124" i="2"/>
  <c r="N124" i="2" s="1"/>
  <c r="M125" i="2"/>
  <c r="N125" i="2" s="1"/>
  <c r="M126" i="2"/>
  <c r="O126" i="2" s="1"/>
  <c r="M127" i="2"/>
  <c r="N127" i="2" s="1"/>
  <c r="M128" i="2"/>
  <c r="N128" i="2" s="1"/>
  <c r="M129" i="2"/>
  <c r="N129" i="2" s="1"/>
  <c r="M116" i="2"/>
  <c r="N116" i="2" s="1"/>
  <c r="W116" i="2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V116" i="2"/>
  <c r="V117" i="2" s="1"/>
  <c r="V118" i="2" s="1"/>
  <c r="V119" i="2" s="1"/>
  <c r="V120" i="2" s="1"/>
  <c r="V121" i="2" s="1"/>
  <c r="V122" i="2" s="1"/>
  <c r="V123" i="2" s="1"/>
  <c r="V124" i="2" s="1"/>
  <c r="V125" i="2" s="1"/>
  <c r="V126" i="2" s="1"/>
  <c r="V127" i="2" s="1"/>
  <c r="V128" i="2" s="1"/>
  <c r="V129" i="2" s="1"/>
  <c r="I114" i="2"/>
  <c r="G114" i="2"/>
  <c r="E114" i="2"/>
  <c r="M115" i="2"/>
  <c r="N115" i="2" s="1"/>
  <c r="M69" i="2"/>
  <c r="O69" i="2" s="1"/>
  <c r="M61" i="2"/>
  <c r="O61" i="2" s="1"/>
  <c r="M62" i="2"/>
  <c r="N62" i="2" s="1"/>
  <c r="M63" i="2"/>
  <c r="N63" i="2" s="1"/>
  <c r="M64" i="2"/>
  <c r="N64" i="2" s="1"/>
  <c r="M65" i="2"/>
  <c r="N65" i="2" s="1"/>
  <c r="M66" i="2"/>
  <c r="N66" i="2" s="1"/>
  <c r="M67" i="2"/>
  <c r="N67" i="2" s="1"/>
  <c r="M68" i="2"/>
  <c r="O68" i="2" s="1"/>
  <c r="I59" i="2"/>
  <c r="G59" i="2"/>
  <c r="E59" i="2"/>
  <c r="M60" i="2"/>
  <c r="O60" i="2" s="1"/>
  <c r="T92" i="2"/>
  <c r="R92" i="2"/>
  <c r="P92" i="2"/>
  <c r="O90" i="2"/>
  <c r="S90" i="2" s="1"/>
  <c r="T78" i="2"/>
  <c r="R78" i="2"/>
  <c r="P78" i="2"/>
  <c r="O76" i="2"/>
  <c r="S76" i="2" s="1"/>
  <c r="T45" i="2"/>
  <c r="R45" i="2"/>
  <c r="P45" i="2"/>
  <c r="P38" i="2"/>
  <c r="T38" i="2" s="1"/>
  <c r="P37" i="2"/>
  <c r="T37" i="2" s="1"/>
  <c r="E37" i="2"/>
  <c r="I37" i="2" s="1"/>
  <c r="E38" i="2"/>
  <c r="G38" i="2" s="1"/>
  <c r="E78" i="2"/>
  <c r="G78" i="2"/>
  <c r="I78" i="2"/>
  <c r="E92" i="2"/>
  <c r="G92" i="2"/>
  <c r="I92" i="2"/>
  <c r="D90" i="2"/>
  <c r="E90" i="2" s="1"/>
  <c r="D76" i="2"/>
  <c r="E76" i="2" s="1"/>
  <c r="C114" i="2"/>
  <c r="N92" i="2"/>
  <c r="N45" i="2"/>
  <c r="N78" i="2"/>
  <c r="C78" i="2"/>
  <c r="C59" i="2"/>
  <c r="C92" i="2"/>
  <c r="G37" i="2" l="1"/>
  <c r="J44" i="2" s="1"/>
  <c r="J43" i="2" s="1"/>
  <c r="J42" i="2" s="1"/>
  <c r="J41" i="2" s="1"/>
  <c r="J40" i="2" s="1"/>
  <c r="J39" i="2" s="1"/>
  <c r="O127" i="2"/>
  <c r="M19" i="2"/>
  <c r="O19" i="2" s="1"/>
  <c r="M17" i="2"/>
  <c r="M20" i="2"/>
  <c r="O20" i="2" s="1"/>
  <c r="M11" i="2"/>
  <c r="N11" i="2" s="1"/>
  <c r="M15" i="2"/>
  <c r="N15" i="2" s="1"/>
  <c r="M12" i="2"/>
  <c r="M16" i="2"/>
  <c r="M14" i="2"/>
  <c r="N126" i="2"/>
  <c r="O120" i="2"/>
  <c r="O124" i="2"/>
  <c r="O128" i="2"/>
  <c r="O116" i="2"/>
  <c r="O123" i="2"/>
  <c r="O119" i="2"/>
  <c r="N122" i="2"/>
  <c r="N118" i="2"/>
  <c r="O129" i="2"/>
  <c r="O121" i="2"/>
  <c r="O125" i="2"/>
  <c r="O117" i="2"/>
  <c r="O115" i="2"/>
  <c r="F115" i="2" s="1"/>
  <c r="F44" i="2"/>
  <c r="F43" i="2" s="1"/>
  <c r="F42" i="2" s="1"/>
  <c r="F41" i="2" s="1"/>
  <c r="F40" i="2" s="1"/>
  <c r="F39" i="2" s="1"/>
  <c r="N69" i="2"/>
  <c r="F69" i="2" s="1"/>
  <c r="E69" i="2" s="1"/>
  <c r="N68" i="2"/>
  <c r="J68" i="2" s="1"/>
  <c r="I68" i="2" s="1"/>
  <c r="O66" i="2"/>
  <c r="H66" i="2" s="1"/>
  <c r="G66" i="2" s="1"/>
  <c r="O64" i="2"/>
  <c r="J64" i="2" s="1"/>
  <c r="I64" i="2" s="1"/>
  <c r="O65" i="2"/>
  <c r="H65" i="2" s="1"/>
  <c r="G65" i="2" s="1"/>
  <c r="N61" i="2"/>
  <c r="H61" i="2" s="1"/>
  <c r="G61" i="2" s="1"/>
  <c r="O63" i="2"/>
  <c r="H63" i="2" s="1"/>
  <c r="G63" i="2" s="1"/>
  <c r="O67" i="2"/>
  <c r="J67" i="2" s="1"/>
  <c r="I67" i="2" s="1"/>
  <c r="O62" i="2"/>
  <c r="N60" i="2"/>
  <c r="J60" i="2" s="1"/>
  <c r="P90" i="2"/>
  <c r="S93" i="2" s="1"/>
  <c r="P76" i="2"/>
  <c r="U79" i="2" s="1"/>
  <c r="R37" i="2"/>
  <c r="S44" i="2" s="1"/>
  <c r="R38" i="2"/>
  <c r="S46" i="2" s="1"/>
  <c r="E45" i="2"/>
  <c r="I45" i="2"/>
  <c r="G45" i="2"/>
  <c r="I38" i="2"/>
  <c r="H90" i="2"/>
  <c r="H76" i="2"/>
  <c r="C45" i="2"/>
  <c r="H44" i="2" l="1"/>
  <c r="H43" i="2" s="1"/>
  <c r="H42" i="2" s="1"/>
  <c r="H41" i="2" s="1"/>
  <c r="H40" i="2" s="1"/>
  <c r="H39" i="2" s="1"/>
  <c r="F116" i="2"/>
  <c r="E116" i="2" s="1"/>
  <c r="N19" i="2"/>
  <c r="J19" i="2" s="1"/>
  <c r="F19" i="2" s="1"/>
  <c r="O17" i="2"/>
  <c r="N17" i="2"/>
  <c r="N20" i="2"/>
  <c r="O11" i="2"/>
  <c r="O15" i="2"/>
  <c r="O12" i="2"/>
  <c r="N12" i="2"/>
  <c r="M21" i="2"/>
  <c r="N16" i="2"/>
  <c r="O16" i="2"/>
  <c r="O14" i="2"/>
  <c r="N14" i="2"/>
  <c r="H68" i="2"/>
  <c r="G68" i="2" s="1"/>
  <c r="F68" i="2"/>
  <c r="E68" i="2" s="1"/>
  <c r="F66" i="2"/>
  <c r="E66" i="2" s="1"/>
  <c r="F117" i="2"/>
  <c r="F118" i="2" s="1"/>
  <c r="E115" i="2"/>
  <c r="J115" i="2"/>
  <c r="H115" i="2"/>
  <c r="F46" i="2"/>
  <c r="F47" i="2" s="1"/>
  <c r="F48" i="2" s="1"/>
  <c r="F49" i="2" s="1"/>
  <c r="F50" i="2" s="1"/>
  <c r="F51" i="2" s="1"/>
  <c r="H46" i="2"/>
  <c r="H47" i="2" s="1"/>
  <c r="H48" i="2" s="1"/>
  <c r="H49" i="2" s="1"/>
  <c r="H50" i="2" s="1"/>
  <c r="H51" i="2" s="1"/>
  <c r="J46" i="2"/>
  <c r="J47" i="2" s="1"/>
  <c r="J48" i="2" s="1"/>
  <c r="J49" i="2" s="1"/>
  <c r="J50" i="2" s="1"/>
  <c r="J51" i="2" s="1"/>
  <c r="J79" i="2"/>
  <c r="J80" i="2" s="1"/>
  <c r="J81" i="2" s="1"/>
  <c r="J82" i="2" s="1"/>
  <c r="J83" i="2" s="1"/>
  <c r="J84" i="2" s="1"/>
  <c r="J85" i="2" s="1"/>
  <c r="J86" i="2" s="1"/>
  <c r="J87" i="2" s="1"/>
  <c r="H79" i="2"/>
  <c r="H80" i="2" s="1"/>
  <c r="H81" i="2" s="1"/>
  <c r="H82" i="2" s="1"/>
  <c r="H83" i="2" s="1"/>
  <c r="H84" i="2" s="1"/>
  <c r="H85" i="2" s="1"/>
  <c r="H86" i="2" s="1"/>
  <c r="H87" i="2" s="1"/>
  <c r="F79" i="2"/>
  <c r="F80" i="2" s="1"/>
  <c r="F81" i="2" s="1"/>
  <c r="F82" i="2" s="1"/>
  <c r="F83" i="2" s="1"/>
  <c r="F84" i="2" s="1"/>
  <c r="F85" i="2" s="1"/>
  <c r="F86" i="2" s="1"/>
  <c r="F87" i="2" s="1"/>
  <c r="F93" i="2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J93" i="2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H93" i="2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J66" i="2"/>
  <c r="I66" i="2" s="1"/>
  <c r="J69" i="2"/>
  <c r="I69" i="2" s="1"/>
  <c r="H69" i="2"/>
  <c r="G69" i="2" s="1"/>
  <c r="J63" i="2"/>
  <c r="I63" i="2" s="1"/>
  <c r="F63" i="2"/>
  <c r="E63" i="2" s="1"/>
  <c r="J61" i="2"/>
  <c r="I61" i="2" s="1"/>
  <c r="F61" i="2"/>
  <c r="E61" i="2" s="1"/>
  <c r="H64" i="2"/>
  <c r="G64" i="2" s="1"/>
  <c r="J65" i="2"/>
  <c r="I65" i="2" s="1"/>
  <c r="F65" i="2"/>
  <c r="E65" i="2" s="1"/>
  <c r="F64" i="2"/>
  <c r="E64" i="2" s="1"/>
  <c r="H67" i="2"/>
  <c r="G67" i="2" s="1"/>
  <c r="F67" i="2"/>
  <c r="E67" i="2" s="1"/>
  <c r="J62" i="2"/>
  <c r="I62" i="2" s="1"/>
  <c r="F62" i="2"/>
  <c r="E62" i="2" s="1"/>
  <c r="H62" i="2"/>
  <c r="G62" i="2" s="1"/>
  <c r="H60" i="2"/>
  <c r="F60" i="2"/>
  <c r="I60" i="2"/>
  <c r="Q79" i="2"/>
  <c r="Q80" i="2" s="1"/>
  <c r="R93" i="2"/>
  <c r="S94" i="2"/>
  <c r="U93" i="2"/>
  <c r="Q93" i="2"/>
  <c r="U80" i="2"/>
  <c r="T79" i="2"/>
  <c r="S79" i="2"/>
  <c r="U46" i="2"/>
  <c r="U47" i="2" s="1"/>
  <c r="Q46" i="2"/>
  <c r="R44" i="2"/>
  <c r="S43" i="2"/>
  <c r="U44" i="2"/>
  <c r="Q44" i="2"/>
  <c r="G44" i="2"/>
  <c r="C69" i="2"/>
  <c r="I19" i="2" l="1"/>
  <c r="E19" i="2" s="1"/>
  <c r="K19" i="2"/>
  <c r="K20" i="2" s="1"/>
  <c r="J17" i="2"/>
  <c r="F17" i="2" s="1"/>
  <c r="K17" i="2"/>
  <c r="I17" i="2"/>
  <c r="J20" i="2"/>
  <c r="F20" i="2" s="1"/>
  <c r="M22" i="2"/>
  <c r="O21" i="2"/>
  <c r="N21" i="2"/>
  <c r="E117" i="2"/>
  <c r="G115" i="2"/>
  <c r="H116" i="2"/>
  <c r="I115" i="2"/>
  <c r="J116" i="2"/>
  <c r="E118" i="2"/>
  <c r="F119" i="2"/>
  <c r="E93" i="2"/>
  <c r="E60" i="2"/>
  <c r="G60" i="2"/>
  <c r="P93" i="2"/>
  <c r="Q94" i="2"/>
  <c r="T93" i="2"/>
  <c r="U94" i="2"/>
  <c r="R94" i="2"/>
  <c r="S95" i="2"/>
  <c r="P79" i="2"/>
  <c r="S80" i="2"/>
  <c r="R79" i="2"/>
  <c r="U81" i="2"/>
  <c r="T80" i="2"/>
  <c r="T46" i="2"/>
  <c r="U43" i="2"/>
  <c r="T44" i="2"/>
  <c r="S47" i="2"/>
  <c r="R46" i="2"/>
  <c r="Q47" i="2"/>
  <c r="P46" i="2"/>
  <c r="Q43" i="2"/>
  <c r="P44" i="2"/>
  <c r="R43" i="2"/>
  <c r="S42" i="2"/>
  <c r="U48" i="2"/>
  <c r="T47" i="2"/>
  <c r="I43" i="2"/>
  <c r="E44" i="2"/>
  <c r="I41" i="2"/>
  <c r="G79" i="2"/>
  <c r="G46" i="2"/>
  <c r="E46" i="2"/>
  <c r="I46" i="2"/>
  <c r="I79" i="2"/>
  <c r="I44" i="2"/>
  <c r="I42" i="2"/>
  <c r="I39" i="2"/>
  <c r="E43" i="2"/>
  <c r="G43" i="2"/>
  <c r="G93" i="2"/>
  <c r="I93" i="2"/>
  <c r="E79" i="2"/>
  <c r="E94" i="2"/>
  <c r="N79" i="2"/>
  <c r="C44" i="2"/>
  <c r="C115" i="2"/>
  <c r="C93" i="2"/>
  <c r="N46" i="2"/>
  <c r="N44" i="2"/>
  <c r="C43" i="2"/>
  <c r="C79" i="2"/>
  <c r="C46" i="2"/>
  <c r="E17" i="2" l="1"/>
  <c r="I16" i="2"/>
  <c r="K16" i="2"/>
  <c r="K15" i="2" s="1"/>
  <c r="K14" i="2" s="1"/>
  <c r="K12" i="2" s="1"/>
  <c r="K11" i="2" s="1"/>
  <c r="I15" i="2"/>
  <c r="I14" i="2" s="1"/>
  <c r="I12" i="2" s="1"/>
  <c r="I11" i="2" s="1"/>
  <c r="I20" i="2"/>
  <c r="E20" i="2" s="1"/>
  <c r="J16" i="2"/>
  <c r="J15" i="2" s="1"/>
  <c r="K21" i="2"/>
  <c r="J21" i="2"/>
  <c r="O22" i="2"/>
  <c r="N22" i="2"/>
  <c r="M24" i="2"/>
  <c r="M23" i="2"/>
  <c r="I116" i="2"/>
  <c r="J117" i="2"/>
  <c r="G116" i="2"/>
  <c r="H117" i="2"/>
  <c r="F120" i="2"/>
  <c r="E119" i="2"/>
  <c r="R95" i="2"/>
  <c r="S96" i="2"/>
  <c r="T94" i="2"/>
  <c r="U95" i="2"/>
  <c r="P94" i="2"/>
  <c r="Q95" i="2"/>
  <c r="U82" i="2"/>
  <c r="T81" i="2"/>
  <c r="S81" i="2"/>
  <c r="R80" i="2"/>
  <c r="Q81" i="2"/>
  <c r="P80" i="2"/>
  <c r="S48" i="2"/>
  <c r="R47" i="2"/>
  <c r="Q42" i="2"/>
  <c r="P43" i="2"/>
  <c r="Q48" i="2"/>
  <c r="P47" i="2"/>
  <c r="U49" i="2"/>
  <c r="T48" i="2"/>
  <c r="S41" i="2"/>
  <c r="R42" i="2"/>
  <c r="U42" i="2"/>
  <c r="T43" i="2"/>
  <c r="G47" i="2"/>
  <c r="I47" i="2"/>
  <c r="E47" i="2"/>
  <c r="I40" i="2"/>
  <c r="G42" i="2"/>
  <c r="E42" i="2"/>
  <c r="G94" i="2"/>
  <c r="I94" i="2"/>
  <c r="E80" i="2"/>
  <c r="G80" i="2"/>
  <c r="I80" i="2"/>
  <c r="G95" i="2"/>
  <c r="E95" i="2"/>
  <c r="I95" i="2"/>
  <c r="N93" i="2"/>
  <c r="C60" i="2"/>
  <c r="C94" i="2"/>
  <c r="N43" i="2"/>
  <c r="N47" i="2"/>
  <c r="C47" i="2"/>
  <c r="C80" i="2"/>
  <c r="N94" i="2"/>
  <c r="C95" i="2"/>
  <c r="N80" i="2"/>
  <c r="C42" i="2"/>
  <c r="C116" i="2"/>
  <c r="F16" i="2" l="1"/>
  <c r="E16" i="2"/>
  <c r="I21" i="2"/>
  <c r="E21" i="2" s="1"/>
  <c r="K22" i="2"/>
  <c r="F21" i="2"/>
  <c r="J22" i="2"/>
  <c r="N23" i="2"/>
  <c r="O23" i="2"/>
  <c r="N24" i="2"/>
  <c r="O24" i="2"/>
  <c r="F15" i="2"/>
  <c r="J14" i="2"/>
  <c r="E15" i="2"/>
  <c r="H118" i="2"/>
  <c r="G117" i="2"/>
  <c r="I117" i="2"/>
  <c r="J118" i="2"/>
  <c r="F121" i="2"/>
  <c r="E120" i="2"/>
  <c r="P95" i="2"/>
  <c r="Q96" i="2"/>
  <c r="R96" i="2"/>
  <c r="S97" i="2"/>
  <c r="T95" i="2"/>
  <c r="U96" i="2"/>
  <c r="P81" i="2"/>
  <c r="Q82" i="2"/>
  <c r="S82" i="2"/>
  <c r="R81" i="2"/>
  <c r="U83" i="2"/>
  <c r="T82" i="2"/>
  <c r="U50" i="2"/>
  <c r="T49" i="2"/>
  <c r="Q49" i="2"/>
  <c r="P48" i="2"/>
  <c r="U41" i="2"/>
  <c r="T42" i="2"/>
  <c r="P42" i="2"/>
  <c r="Q41" i="2"/>
  <c r="S40" i="2"/>
  <c r="R41" i="2"/>
  <c r="S49" i="2"/>
  <c r="R48" i="2"/>
  <c r="G48" i="2"/>
  <c r="E48" i="2"/>
  <c r="I48" i="2"/>
  <c r="G41" i="2"/>
  <c r="E41" i="2"/>
  <c r="E81" i="2"/>
  <c r="I81" i="2"/>
  <c r="G81" i="2"/>
  <c r="I96" i="2"/>
  <c r="E96" i="2"/>
  <c r="G96" i="2"/>
  <c r="N42" i="2"/>
  <c r="C81" i="2"/>
  <c r="C61" i="2"/>
  <c r="N48" i="2"/>
  <c r="C96" i="2"/>
  <c r="C117" i="2"/>
  <c r="C48" i="2"/>
  <c r="C41" i="2"/>
  <c r="I22" i="2" l="1"/>
  <c r="E22" i="2" s="1"/>
  <c r="K23" i="2"/>
  <c r="K24" i="2" s="1"/>
  <c r="J23" i="2"/>
  <c r="F22" i="2"/>
  <c r="E14" i="2"/>
  <c r="J12" i="2"/>
  <c r="F14" i="2"/>
  <c r="I118" i="2"/>
  <c r="J119" i="2"/>
  <c r="G118" i="2"/>
  <c r="H119" i="2"/>
  <c r="F122" i="2"/>
  <c r="E121" i="2"/>
  <c r="T96" i="2"/>
  <c r="U97" i="2"/>
  <c r="R97" i="2"/>
  <c r="S98" i="2"/>
  <c r="P96" i="2"/>
  <c r="Q97" i="2"/>
  <c r="U84" i="2"/>
  <c r="T83" i="2"/>
  <c r="S83" i="2"/>
  <c r="R82" i="2"/>
  <c r="Q83" i="2"/>
  <c r="P82" i="2"/>
  <c r="S50" i="2"/>
  <c r="R49" i="2"/>
  <c r="Q50" i="2"/>
  <c r="P49" i="2"/>
  <c r="P41" i="2"/>
  <c r="Q40" i="2"/>
  <c r="U40" i="2"/>
  <c r="T41" i="2"/>
  <c r="S39" i="2"/>
  <c r="R39" i="2" s="1"/>
  <c r="R40" i="2"/>
  <c r="U51" i="2"/>
  <c r="T51" i="2" s="1"/>
  <c r="T50" i="2"/>
  <c r="I49" i="2"/>
  <c r="E49" i="2"/>
  <c r="G49" i="2"/>
  <c r="G40" i="2"/>
  <c r="G39" i="2"/>
  <c r="E40" i="2"/>
  <c r="E39" i="2"/>
  <c r="E82" i="2"/>
  <c r="G82" i="2"/>
  <c r="I82" i="2"/>
  <c r="E97" i="2"/>
  <c r="G97" i="2"/>
  <c r="I97" i="2"/>
  <c r="C63" i="2"/>
  <c r="N81" i="2"/>
  <c r="N95" i="2"/>
  <c r="C62" i="2"/>
  <c r="C40" i="2"/>
  <c r="N96" i="2"/>
  <c r="C39" i="2"/>
  <c r="N82" i="2"/>
  <c r="N41" i="2"/>
  <c r="N49" i="2"/>
  <c r="C82" i="2"/>
  <c r="C49" i="2"/>
  <c r="C97" i="2"/>
  <c r="C118" i="2"/>
  <c r="I23" i="2" l="1"/>
  <c r="I24" i="2" s="1"/>
  <c r="E24" i="2" s="1"/>
  <c r="F23" i="2"/>
  <c r="J24" i="2"/>
  <c r="F24" i="2" s="1"/>
  <c r="E11" i="2"/>
  <c r="E12" i="2"/>
  <c r="F12" i="2"/>
  <c r="J11" i="2"/>
  <c r="F11" i="2" s="1"/>
  <c r="J120" i="2"/>
  <c r="I119" i="2"/>
  <c r="H120" i="2"/>
  <c r="G119" i="2"/>
  <c r="F123" i="2"/>
  <c r="E122" i="2"/>
  <c r="R98" i="2"/>
  <c r="S99" i="2"/>
  <c r="P97" i="2"/>
  <c r="Q98" i="2"/>
  <c r="T97" i="2"/>
  <c r="U98" i="2"/>
  <c r="Q84" i="2"/>
  <c r="P83" i="2"/>
  <c r="R83" i="2"/>
  <c r="S84" i="2"/>
  <c r="U85" i="2"/>
  <c r="T84" i="2"/>
  <c r="U39" i="2"/>
  <c r="T39" i="2" s="1"/>
  <c r="T40" i="2"/>
  <c r="Q39" i="2"/>
  <c r="P39" i="2" s="1"/>
  <c r="P40" i="2"/>
  <c r="P50" i="2"/>
  <c r="Q51" i="2"/>
  <c r="P51" i="2" s="1"/>
  <c r="S51" i="2"/>
  <c r="R51" i="2" s="1"/>
  <c r="R50" i="2"/>
  <c r="E50" i="2"/>
  <c r="E51" i="2"/>
  <c r="I50" i="2"/>
  <c r="I51" i="2"/>
  <c r="G50" i="2"/>
  <c r="G51" i="2"/>
  <c r="E83" i="2"/>
  <c r="I83" i="2"/>
  <c r="G83" i="2"/>
  <c r="I98" i="2"/>
  <c r="G98" i="2"/>
  <c r="E98" i="2"/>
  <c r="N40" i="2"/>
  <c r="C83" i="2"/>
  <c r="C119" i="2"/>
  <c r="N83" i="2"/>
  <c r="C98" i="2"/>
  <c r="C50" i="2"/>
  <c r="C51" i="2"/>
  <c r="N39" i="2"/>
  <c r="E23" i="2" l="1"/>
  <c r="G120" i="2"/>
  <c r="H121" i="2"/>
  <c r="I120" i="2"/>
  <c r="J121" i="2"/>
  <c r="E123" i="2"/>
  <c r="F124" i="2"/>
  <c r="T98" i="2"/>
  <c r="U99" i="2"/>
  <c r="R99" i="2"/>
  <c r="S100" i="2"/>
  <c r="P98" i="2"/>
  <c r="Q99" i="2"/>
  <c r="S85" i="2"/>
  <c r="R84" i="2"/>
  <c r="U86" i="2"/>
  <c r="U87" i="2" s="1"/>
  <c r="T85" i="2"/>
  <c r="Q85" i="2"/>
  <c r="P84" i="2"/>
  <c r="I84" i="2"/>
  <c r="G84" i="2"/>
  <c r="E84" i="2"/>
  <c r="E99" i="2"/>
  <c r="G99" i="2"/>
  <c r="I99" i="2"/>
  <c r="C65" i="2"/>
  <c r="N50" i="2"/>
  <c r="C64" i="2"/>
  <c r="C120" i="2"/>
  <c r="N51" i="2"/>
  <c r="C84" i="2"/>
  <c r="N97" i="2"/>
  <c r="N84" i="2"/>
  <c r="N98" i="2"/>
  <c r="C99" i="2"/>
  <c r="I121" i="2" l="1"/>
  <c r="J122" i="2"/>
  <c r="G121" i="2"/>
  <c r="H122" i="2"/>
  <c r="F125" i="2"/>
  <c r="E124" i="2"/>
  <c r="T99" i="2"/>
  <c r="U100" i="2"/>
  <c r="P99" i="2"/>
  <c r="Q100" i="2"/>
  <c r="R100" i="2"/>
  <c r="S101" i="2"/>
  <c r="Q86" i="2"/>
  <c r="P85" i="2"/>
  <c r="T87" i="2"/>
  <c r="T86" i="2"/>
  <c r="S86" i="2"/>
  <c r="R85" i="2"/>
  <c r="E85" i="2"/>
  <c r="G85" i="2"/>
  <c r="I85" i="2"/>
  <c r="E100" i="2"/>
  <c r="I100" i="2"/>
  <c r="G100" i="2"/>
  <c r="C121" i="2"/>
  <c r="N85" i="2"/>
  <c r="C85" i="2"/>
  <c r="C100" i="2"/>
  <c r="N99" i="2"/>
  <c r="G122" i="2" l="1"/>
  <c r="H123" i="2"/>
  <c r="J123" i="2"/>
  <c r="I122" i="2"/>
  <c r="F126" i="2"/>
  <c r="E125" i="2"/>
  <c r="T100" i="2"/>
  <c r="U101" i="2"/>
  <c r="R101" i="2"/>
  <c r="S102" i="2"/>
  <c r="P100" i="2"/>
  <c r="Q101" i="2"/>
  <c r="S87" i="2"/>
  <c r="R87" i="2" s="1"/>
  <c r="R86" i="2"/>
  <c r="Q87" i="2"/>
  <c r="P87" i="2" s="1"/>
  <c r="P86" i="2"/>
  <c r="I86" i="2"/>
  <c r="G86" i="2"/>
  <c r="E86" i="2"/>
  <c r="E101" i="2"/>
  <c r="G101" i="2"/>
  <c r="I101" i="2"/>
  <c r="C66" i="2"/>
  <c r="C67" i="2"/>
  <c r="C122" i="2"/>
  <c r="C68" i="2"/>
  <c r="N100" i="2"/>
  <c r="N87" i="2"/>
  <c r="N86" i="2"/>
  <c r="C101" i="2"/>
  <c r="C86" i="2"/>
  <c r="I123" i="2" l="1"/>
  <c r="J124" i="2"/>
  <c r="H124" i="2"/>
  <c r="G123" i="2"/>
  <c r="E126" i="2"/>
  <c r="F127" i="2"/>
  <c r="R102" i="2"/>
  <c r="S103" i="2"/>
  <c r="T101" i="2"/>
  <c r="U102" i="2"/>
  <c r="P101" i="2"/>
  <c r="Q102" i="2"/>
  <c r="I87" i="2"/>
  <c r="E87" i="2"/>
  <c r="G87" i="2"/>
  <c r="I102" i="2"/>
  <c r="G102" i="2"/>
  <c r="E102" i="2"/>
  <c r="C123" i="2"/>
  <c r="N101" i="2"/>
  <c r="C87" i="2"/>
  <c r="C102" i="2"/>
  <c r="H125" i="2" l="1"/>
  <c r="G124" i="2"/>
  <c r="J125" i="2"/>
  <c r="I124" i="2"/>
  <c r="E127" i="2"/>
  <c r="F128" i="2"/>
  <c r="P102" i="2"/>
  <c r="Q103" i="2"/>
  <c r="R103" i="2"/>
  <c r="S104" i="2"/>
  <c r="T102" i="2"/>
  <c r="U103" i="2"/>
  <c r="I103" i="2"/>
  <c r="E103" i="2"/>
  <c r="G103" i="2"/>
  <c r="C124" i="2"/>
  <c r="C103" i="2"/>
  <c r="J126" i="2" l="1"/>
  <c r="I125" i="2"/>
  <c r="G125" i="2"/>
  <c r="H126" i="2"/>
  <c r="F129" i="2"/>
  <c r="E129" i="2" s="1"/>
  <c r="E128" i="2"/>
  <c r="T103" i="2"/>
  <c r="U104" i="2"/>
  <c r="R104" i="2"/>
  <c r="S105" i="2"/>
  <c r="P103" i="2"/>
  <c r="Q104" i="2"/>
  <c r="I104" i="2"/>
  <c r="E104" i="2"/>
  <c r="G104" i="2"/>
  <c r="N102" i="2"/>
  <c r="C125" i="2"/>
  <c r="C104" i="2"/>
  <c r="N103" i="2"/>
  <c r="G126" i="2" l="1"/>
  <c r="H127" i="2"/>
  <c r="J127" i="2"/>
  <c r="I126" i="2"/>
  <c r="P104" i="2"/>
  <c r="Q105" i="2"/>
  <c r="R105" i="2"/>
  <c r="S106" i="2"/>
  <c r="T104" i="2"/>
  <c r="U105" i="2"/>
  <c r="G105" i="2"/>
  <c r="I105" i="2"/>
  <c r="E105" i="2"/>
  <c r="C126" i="2"/>
  <c r="C105" i="2"/>
  <c r="I127" i="2" l="1"/>
  <c r="J128" i="2"/>
  <c r="H128" i="2"/>
  <c r="G127" i="2"/>
  <c r="T105" i="2"/>
  <c r="U106" i="2"/>
  <c r="R106" i="2"/>
  <c r="S107" i="2"/>
  <c r="R107" i="2" s="1"/>
  <c r="P105" i="2"/>
  <c r="Q106" i="2"/>
  <c r="E106" i="2"/>
  <c r="E107" i="2"/>
  <c r="I106" i="2"/>
  <c r="I107" i="2"/>
  <c r="G107" i="2"/>
  <c r="G106" i="2"/>
  <c r="N104" i="2"/>
  <c r="C127" i="2"/>
  <c r="N105" i="2"/>
  <c r="C107" i="2"/>
  <c r="C106" i="2"/>
  <c r="H129" i="2" l="1"/>
  <c r="G129" i="2" s="1"/>
  <c r="G128" i="2"/>
  <c r="J129" i="2"/>
  <c r="I129" i="2" s="1"/>
  <c r="I128" i="2"/>
  <c r="P106" i="2"/>
  <c r="Q107" i="2"/>
  <c r="P107" i="2" s="1"/>
  <c r="T106" i="2"/>
  <c r="U107" i="2"/>
  <c r="T107" i="2" s="1"/>
  <c r="G17" i="2"/>
  <c r="G16" i="2"/>
  <c r="C129" i="2"/>
  <c r="C128" i="2"/>
  <c r="N107" i="2"/>
  <c r="N106" i="2"/>
  <c r="C16" i="2"/>
  <c r="C17" i="2"/>
  <c r="G15" i="2" l="1"/>
  <c r="C15" i="2"/>
  <c r="G14" i="2" l="1"/>
  <c r="C14" i="2"/>
  <c r="G11" i="2" l="1"/>
  <c r="G12" i="2"/>
  <c r="G19" i="2"/>
  <c r="G20" i="2"/>
  <c r="C12" i="2"/>
  <c r="C19" i="2"/>
  <c r="C11" i="2"/>
  <c r="C20" i="2"/>
  <c r="G21" i="2" l="1"/>
  <c r="C21" i="2"/>
  <c r="G22" i="2" l="1"/>
  <c r="C22" i="2"/>
  <c r="G23" i="2" l="1"/>
  <c r="G24" i="2"/>
  <c r="C24" i="2"/>
  <c r="C23" i="2"/>
</calcChain>
</file>

<file path=xl/sharedStrings.xml><?xml version="1.0" encoding="utf-8"?>
<sst xmlns="http://schemas.openxmlformats.org/spreadsheetml/2006/main" count="231" uniqueCount="167">
  <si>
    <t>r</t>
  </si>
  <si>
    <t>g</t>
  </si>
  <si>
    <t>b</t>
  </si>
  <si>
    <t>p (%)</t>
  </si>
  <si>
    <t>t</t>
  </si>
  <si>
    <t>P</t>
  </si>
  <si>
    <t>p&lt;0</t>
  </si>
  <si>
    <t>#FF0000</t>
  </si>
  <si>
    <t>#E60000</t>
  </si>
  <si>
    <t>#7A0000</t>
  </si>
  <si>
    <t>#BA0000</t>
  </si>
  <si>
    <t>#A70000</t>
  </si>
  <si>
    <t>#6E0000</t>
  </si>
  <si>
    <t>#630000</t>
  </si>
  <si>
    <t>#960000</t>
  </si>
  <si>
    <t>#870000</t>
  </si>
  <si>
    <t>#CF0000</t>
  </si>
  <si>
    <t>linear shading</t>
  </si>
  <si>
    <t>log shading</t>
  </si>
  <si>
    <t>#780000</t>
  </si>
  <si>
    <t>#0000FF</t>
  </si>
  <si>
    <t>#FBDFD3</t>
  </si>
  <si>
    <t>#F48000</t>
  </si>
  <si>
    <t>#FACEBA</t>
  </si>
  <si>
    <t>#F59251</t>
  </si>
  <si>
    <t>#F6A06F</t>
  </si>
  <si>
    <t>#F7AC85</t>
  </si>
  <si>
    <t>#F8B696</t>
  </si>
  <si>
    <t>#F9BFA4</t>
  </si>
  <si>
    <t>#FAC6AF</t>
  </si>
  <si>
    <t>#FBCCB9</t>
  </si>
  <si>
    <t>#FBD2C1</t>
  </si>
  <si>
    <t>#FBD7C8</t>
  </si>
  <si>
    <t>#FBDBCE</t>
  </si>
  <si>
    <t>#FBE2D8</t>
  </si>
  <si>
    <t>#FBE5DC</t>
  </si>
  <si>
    <t>#FBEAE3</t>
  </si>
  <si>
    <t>#FBE8E0</t>
  </si>
  <si>
    <t>Color adjust lighter (Linear)</t>
  </si>
  <si>
    <t>Color adjust darker (Linear)</t>
  </si>
  <si>
    <t>base color</t>
  </si>
  <si>
    <t>#DB0000</t>
  </si>
  <si>
    <t>#BC0000</t>
  </si>
  <si>
    <t>#A20000</t>
  </si>
  <si>
    <t>#8B0000</t>
  </si>
  <si>
    <t>#FF7373</t>
  </si>
  <si>
    <t>#FFB2B2</t>
  </si>
  <si>
    <t>#FFD5D5</t>
  </si>
  <si>
    <t>#FFE8E8</t>
  </si>
  <si>
    <t>#FFF2F2</t>
  </si>
  <si>
    <t>#FFF8F8</t>
  </si>
  <si>
    <t>#670000</t>
  </si>
  <si>
    <t>#7373FF</t>
  </si>
  <si>
    <t>#0000DB</t>
  </si>
  <si>
    <t>#B2B2FF</t>
  </si>
  <si>
    <t>#0000BC</t>
  </si>
  <si>
    <t>#0000A2</t>
  </si>
  <si>
    <t>#D5D5FF</t>
  </si>
  <si>
    <t>#00008B</t>
  </si>
  <si>
    <t>#000067</t>
  </si>
  <si>
    <t>#E8E8FF</t>
  </si>
  <si>
    <t>#000078</t>
  </si>
  <si>
    <t>#F8F8FF</t>
  </si>
  <si>
    <t>#F2F2FF</t>
  </si>
  <si>
    <t>Lighter</t>
  </si>
  <si>
    <t>Darker</t>
  </si>
  <si>
    <t>#0277BD</t>
  </si>
  <si>
    <t>#D9E2EF</t>
  </si>
  <si>
    <t>#86A8D1</t>
  </si>
  <si>
    <t>#6394C8</t>
  </si>
  <si>
    <t>#B0C4DF</t>
  </si>
  <si>
    <t>#9EB8D9</t>
  </si>
  <si>
    <t>#BECEE4</t>
  </si>
  <si>
    <t>#C9D6E8</t>
  </si>
  <si>
    <t>#D2DDEC</t>
  </si>
  <si>
    <t>#DFE7F1</t>
  </si>
  <si>
    <t>#E8EEF5</t>
  </si>
  <si>
    <t>#E4EBF3</t>
  </si>
  <si>
    <t>#EFF3F8</t>
  </si>
  <si>
    <t>#ECF1F7</t>
  </si>
  <si>
    <t>#F1F5F9</t>
  </si>
  <si>
    <t>#F3F7FA</t>
  </si>
  <si>
    <t>#01579B</t>
  </si>
  <si>
    <t>#4181B4</t>
  </si>
  <si>
    <t>#71A1C7</t>
  </si>
  <si>
    <t>#B0CBE0</t>
  </si>
  <si>
    <t>#95B9D5</t>
  </si>
  <si>
    <t>#C4D8E8</t>
  </si>
  <si>
    <t>#D3E2EE</t>
  </si>
  <si>
    <t>#DEE9F2</t>
  </si>
  <si>
    <t>#E6EFF5</t>
  </si>
  <si>
    <t>#ECF3F8</t>
  </si>
  <si>
    <t>cumlative</t>
  </si>
  <si>
    <t>#FFFFFF</t>
  </si>
  <si>
    <t>#016EF0</t>
  </si>
  <si>
    <t>#F2F8FE</t>
  </si>
  <si>
    <t>#1A7DF2</t>
  </si>
  <si>
    <t>#348BF3</t>
  </si>
  <si>
    <t>#67A8F6</t>
  </si>
  <si>
    <t>#4D9AF5</t>
  </si>
  <si>
    <t>#80B7F8</t>
  </si>
  <si>
    <t>#99C5F9</t>
  </si>
  <si>
    <t>#E6F1FE</t>
  </si>
  <si>
    <t>#CCE2FC</t>
  </si>
  <si>
    <t>#B3D4FB</t>
  </si>
  <si>
    <t>progression</t>
  </si>
  <si>
    <t>defined</t>
  </si>
  <si>
    <t>values</t>
  </si>
  <si>
    <t>#F58E48</t>
  </si>
  <si>
    <t>#F6A374</t>
  </si>
  <si>
    <t>#F8B99A</t>
  </si>
  <si>
    <t>#FDECE5</t>
  </si>
  <si>
    <t>#FCDFD3</t>
  </si>
  <si>
    <t>#FEF5F1</t>
  </si>
  <si>
    <t>#FFFAF8</t>
  </si>
  <si>
    <t>#FFFDFC</t>
  </si>
  <si>
    <t>#FFFEFE</t>
  </si>
  <si>
    <t>lighter side</t>
  </si>
  <si>
    <t>darker side</t>
  </si>
  <si>
    <t>ff</t>
  </si>
  <si>
    <t>7f</t>
  </si>
  <si>
    <t>convert hex to decimal</t>
  </si>
  <si>
    <t>final - typical range</t>
  </si>
  <si>
    <t>final - extended range</t>
  </si>
  <si>
    <t>#F9FCFF</t>
  </si>
  <si>
    <t>#2196F3</t>
  </si>
  <si>
    <t>#6BB9F7</t>
  </si>
  <si>
    <t>#3CA3F4</t>
  </si>
  <si>
    <t>#A0D2FA</t>
  </si>
  <si>
    <t>#CEE8FC</t>
  </si>
  <si>
    <t>#EBF6FE</t>
  </si>
  <si>
    <t>#1E8AE0</t>
  </si>
  <si>
    <t>#1A79C5</t>
  </si>
  <si>
    <t>#1666A5</t>
  </si>
  <si>
    <t>#125284</t>
  </si>
  <si>
    <t>#0A2D48</t>
  </si>
  <si>
    <t>#0E3E64</t>
  </si>
  <si>
    <t>970</t>
  </si>
  <si>
    <t>050</t>
  </si>
  <si>
    <t>010</t>
  </si>
  <si>
    <t>#03A9F3</t>
  </si>
  <si>
    <t>#11AEF4</t>
  </si>
  <si>
    <t>#039EE2</t>
  </si>
  <si>
    <t>#0391D0</t>
  </si>
  <si>
    <t>#0383BC</t>
  </si>
  <si>
    <t>#25B5F5</t>
  </si>
  <si>
    <t>#0375A7</t>
  </si>
  <si>
    <t>#03587E</t>
  </si>
  <si>
    <t>#59C6F7</t>
  </si>
  <si>
    <t>#3EBDF6</t>
  </si>
  <si>
    <t>#036692</t>
  </si>
  <si>
    <t>#03405B</t>
  </si>
  <si>
    <t>#75D0F8</t>
  </si>
  <si>
    <t>#034C6C</t>
  </si>
  <si>
    <t>#8FD9F9</t>
  </si>
  <si>
    <t>#02354C</t>
  </si>
  <si>
    <t>#A6E1FA</t>
  </si>
  <si>
    <t>#022B3E</t>
  </si>
  <si>
    <t>#022332</t>
  </si>
  <si>
    <t>#BAE8FB</t>
  </si>
  <si>
    <t>#CBEEFC</t>
  </si>
  <si>
    <t>#D8F2FD</t>
  </si>
  <si>
    <t>#E3F6FE</t>
  </si>
  <si>
    <t>#ECF9FE</t>
  </si>
  <si>
    <t>#F2FBFE</t>
  </si>
  <si>
    <t>light.blue</t>
  </si>
  <si>
    <t>"use this chart for all future color ranges"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</si>
</sst>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#"/>
    <numFmt numFmtId="166" formatCode="000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0" tint="-0.34998626667073579"/>
      <name val="Calibri"/>
      <family val="2"/>
      <scheme val="minor"/>
    </font>
    <font>
      <sz val="20"/>
      <color theme="1"/>
      <name val="Calibri"/>
      <family val="2"/>
      <scheme val="minor"/>
    </font>
  </fonts>
  <fills count="13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277BD"/>
        <bgColor indexed="64"/>
      </patternFill>
    </fill>
    <fill>
      <patternFill patternType="solid">
        <fgColor rgb="FF01579B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7A0000"/>
        <bgColor indexed="64"/>
      </patternFill>
    </fill>
    <fill>
      <patternFill patternType="solid">
        <fgColor rgb="FFBA0000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6300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CF000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FBDFD3"/>
        <bgColor indexed="64"/>
      </patternFill>
    </fill>
    <fill>
      <patternFill patternType="solid">
        <fgColor rgb="FFF48000"/>
        <bgColor indexed="64"/>
      </patternFill>
    </fill>
    <fill>
      <patternFill patternType="solid">
        <fgColor rgb="FFFACEBA"/>
        <bgColor indexed="64"/>
      </patternFill>
    </fill>
    <fill>
      <patternFill patternType="solid">
        <fgColor rgb="FFF59251"/>
        <bgColor indexed="64"/>
      </patternFill>
    </fill>
    <fill>
      <patternFill patternType="solid">
        <fgColor rgb="FFF6A06F"/>
        <bgColor indexed="64"/>
      </patternFill>
    </fill>
    <fill>
      <patternFill patternType="solid">
        <fgColor rgb="FFF7AC85"/>
        <bgColor indexed="64"/>
      </patternFill>
    </fill>
    <fill>
      <patternFill patternType="solid">
        <fgColor rgb="FFF8B696"/>
        <bgColor indexed="64"/>
      </patternFill>
    </fill>
    <fill>
      <patternFill patternType="solid">
        <fgColor rgb="FFF9BFA4"/>
        <bgColor indexed="64"/>
      </patternFill>
    </fill>
    <fill>
      <patternFill patternType="solid">
        <fgColor rgb="FFFAC6AF"/>
        <bgColor indexed="64"/>
      </patternFill>
    </fill>
    <fill>
      <patternFill patternType="solid">
        <fgColor rgb="FFFBCCB9"/>
        <bgColor indexed="64"/>
      </patternFill>
    </fill>
    <fill>
      <patternFill patternType="solid">
        <fgColor rgb="FFFBD2C1"/>
        <bgColor indexed="64"/>
      </patternFill>
    </fill>
    <fill>
      <patternFill patternType="solid">
        <fgColor rgb="FFFBD7C8"/>
        <bgColor indexed="64"/>
      </patternFill>
    </fill>
    <fill>
      <patternFill patternType="solid">
        <fgColor rgb="FFFBDBCE"/>
        <bgColor indexed="64"/>
      </patternFill>
    </fill>
    <fill>
      <patternFill patternType="solid">
        <fgColor rgb="FFFBE2D8"/>
        <bgColor indexed="64"/>
      </patternFill>
    </fill>
    <fill>
      <patternFill patternType="solid">
        <fgColor rgb="FFFBE5DC"/>
        <bgColor indexed="64"/>
      </patternFill>
    </fill>
    <fill>
      <patternFill patternType="solid">
        <fgColor rgb="FFFBEAE3"/>
        <bgColor indexed="64"/>
      </patternFill>
    </fill>
    <fill>
      <patternFill patternType="solid">
        <fgColor rgb="FFFBE8E0"/>
        <bgColor indexed="64"/>
      </patternFill>
    </fill>
    <fill>
      <patternFill patternType="solid">
        <fgColor rgb="FFDB0000"/>
        <bgColor indexed="64"/>
      </patternFill>
    </fill>
    <fill>
      <patternFill patternType="solid">
        <fgColor rgb="FFBC0000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7373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E8E8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FFF8F8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7373FF"/>
        <bgColor indexed="64"/>
      </patternFill>
    </fill>
    <fill>
      <patternFill patternType="solid">
        <fgColor rgb="FF0000DB"/>
        <bgColor indexed="64"/>
      </patternFill>
    </fill>
    <fill>
      <patternFill patternType="solid">
        <fgColor rgb="FFB2B2FF"/>
        <bgColor indexed="64"/>
      </patternFill>
    </fill>
    <fill>
      <patternFill patternType="solid">
        <fgColor rgb="FF0000BC"/>
        <bgColor indexed="64"/>
      </patternFill>
    </fill>
    <fill>
      <patternFill patternType="solid">
        <fgColor rgb="FF0000A2"/>
        <bgColor indexed="64"/>
      </patternFill>
    </fill>
    <fill>
      <patternFill patternType="solid">
        <fgColor rgb="FFD5D5FF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E8E8FF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D9E2EF"/>
        <bgColor indexed="64"/>
      </patternFill>
    </fill>
    <fill>
      <patternFill patternType="solid">
        <fgColor rgb="FF86A8D1"/>
        <bgColor indexed="64"/>
      </patternFill>
    </fill>
    <fill>
      <patternFill patternType="solid">
        <fgColor rgb="FF6394C8"/>
        <bgColor indexed="64"/>
      </patternFill>
    </fill>
    <fill>
      <patternFill patternType="solid">
        <fgColor rgb="FFB0C4DF"/>
        <bgColor indexed="64"/>
      </patternFill>
    </fill>
    <fill>
      <patternFill patternType="solid">
        <fgColor rgb="FF9EB8D9"/>
        <bgColor indexed="64"/>
      </patternFill>
    </fill>
    <fill>
      <patternFill patternType="solid">
        <fgColor rgb="FFBECEE4"/>
        <bgColor indexed="64"/>
      </patternFill>
    </fill>
    <fill>
      <patternFill patternType="solid">
        <fgColor rgb="FFC9D6E8"/>
        <bgColor indexed="64"/>
      </patternFill>
    </fill>
    <fill>
      <patternFill patternType="solid">
        <fgColor rgb="FFD2DDEC"/>
        <bgColor indexed="64"/>
      </patternFill>
    </fill>
    <fill>
      <patternFill patternType="solid">
        <fgColor rgb="FFDFE7F1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E4EBF3"/>
        <bgColor indexed="64"/>
      </patternFill>
    </fill>
    <fill>
      <patternFill patternType="solid">
        <fgColor rgb="FFEFF3F8"/>
        <bgColor indexed="64"/>
      </patternFill>
    </fill>
    <fill>
      <patternFill patternType="solid">
        <fgColor rgb="FFECF1F7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4181B4"/>
        <bgColor indexed="64"/>
      </patternFill>
    </fill>
    <fill>
      <patternFill patternType="solid">
        <fgColor rgb="FF71A1C7"/>
        <bgColor indexed="64"/>
      </patternFill>
    </fill>
    <fill>
      <patternFill patternType="solid">
        <fgColor rgb="FFB0CBE0"/>
        <bgColor indexed="64"/>
      </patternFill>
    </fill>
    <fill>
      <patternFill patternType="solid">
        <fgColor rgb="FF95B9D5"/>
        <bgColor indexed="64"/>
      </patternFill>
    </fill>
    <fill>
      <patternFill patternType="solid">
        <fgColor rgb="FFC4D8E8"/>
        <bgColor indexed="64"/>
      </patternFill>
    </fill>
    <fill>
      <patternFill patternType="solid">
        <fgColor rgb="FFD3E2EE"/>
        <bgColor indexed="64"/>
      </patternFill>
    </fill>
    <fill>
      <patternFill patternType="solid">
        <fgColor rgb="FFDEE9F2"/>
        <bgColor indexed="64"/>
      </patternFill>
    </fill>
    <fill>
      <patternFill patternType="solid">
        <fgColor rgb="FFE6EFF5"/>
        <bgColor indexed="64"/>
      </patternFill>
    </fill>
    <fill>
      <patternFill patternType="solid">
        <fgColor rgb="FFECF3F8"/>
        <bgColor indexed="64"/>
      </patternFill>
    </fill>
    <fill>
      <patternFill patternType="solid">
        <fgColor rgb="FF016EF0"/>
        <bgColor indexed="64"/>
      </patternFill>
    </fill>
    <fill>
      <patternFill patternType="solid">
        <fgColor rgb="FFF2F8FE"/>
        <bgColor indexed="64"/>
      </patternFill>
    </fill>
    <fill>
      <patternFill patternType="solid">
        <fgColor rgb="FF1A7DF2"/>
        <bgColor indexed="64"/>
      </patternFill>
    </fill>
    <fill>
      <patternFill patternType="solid">
        <fgColor rgb="FF348BF3"/>
        <bgColor indexed="64"/>
      </patternFill>
    </fill>
    <fill>
      <patternFill patternType="solid">
        <fgColor rgb="FF67A8F6"/>
        <bgColor indexed="64"/>
      </patternFill>
    </fill>
    <fill>
      <patternFill patternType="solid">
        <fgColor rgb="FF4D9AF5"/>
        <bgColor indexed="64"/>
      </patternFill>
    </fill>
    <fill>
      <patternFill patternType="solid">
        <fgColor rgb="FF80B7F8"/>
        <bgColor indexed="64"/>
      </patternFill>
    </fill>
    <fill>
      <patternFill patternType="solid">
        <fgColor rgb="FF99C5F9"/>
        <bgColor indexed="64"/>
      </patternFill>
    </fill>
    <fill>
      <patternFill patternType="solid">
        <fgColor rgb="FFE6F1FE"/>
        <bgColor indexed="64"/>
      </patternFill>
    </fill>
    <fill>
      <patternFill patternType="solid">
        <fgColor rgb="FFCCE2FC"/>
        <bgColor indexed="64"/>
      </patternFill>
    </fill>
    <fill>
      <patternFill patternType="solid">
        <fgColor rgb="FFB3D4FB"/>
        <bgColor indexed="64"/>
      </patternFill>
    </fill>
    <fill>
      <patternFill patternType="solid">
        <fgColor rgb="FFF58E48"/>
        <bgColor indexed="64"/>
      </patternFill>
    </fill>
    <fill>
      <patternFill patternType="solid">
        <fgColor rgb="FFF6A374"/>
        <bgColor indexed="64"/>
      </patternFill>
    </fill>
    <fill>
      <patternFill patternType="solid">
        <fgColor rgb="FFF8B99A"/>
        <bgColor indexed="64"/>
      </patternFill>
    </fill>
    <fill>
      <patternFill patternType="solid">
        <fgColor rgb="FFFDECE5"/>
        <bgColor indexed="64"/>
      </patternFill>
    </fill>
    <fill>
      <patternFill patternType="solid">
        <fgColor rgb="FFFCDFD3"/>
        <bgColor indexed="64"/>
      </patternFill>
    </fill>
    <fill>
      <patternFill patternType="solid">
        <fgColor rgb="FFFEF5F1"/>
        <bgColor indexed="64"/>
      </patternFill>
    </fill>
    <fill>
      <patternFill patternType="solid">
        <fgColor rgb="FFFFFAF8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F9FCFF"/>
        <bgColor indexed="64"/>
      </patternFill>
    </fill>
    <fill>
      <patternFill patternType="solid">
        <fgColor rgb="FF2196F3"/>
        <bgColor indexed="64"/>
      </patternFill>
    </fill>
    <fill>
      <patternFill patternType="solid">
        <fgColor rgb="FF6BB9F7"/>
        <bgColor indexed="64"/>
      </patternFill>
    </fill>
    <fill>
      <patternFill patternType="solid">
        <fgColor rgb="FF3CA3F4"/>
        <bgColor indexed="64"/>
      </patternFill>
    </fill>
    <fill>
      <patternFill patternType="solid">
        <fgColor rgb="FFA0D2FA"/>
        <bgColor indexed="64"/>
      </patternFill>
    </fill>
    <fill>
      <patternFill patternType="solid">
        <fgColor rgb="FFCEE8FC"/>
        <bgColor indexed="64"/>
      </patternFill>
    </fill>
    <fill>
      <patternFill patternType="solid">
        <fgColor rgb="FFEBF6FE"/>
        <bgColor indexed="64"/>
      </patternFill>
    </fill>
    <fill>
      <patternFill patternType="solid">
        <fgColor rgb="FF1E8AE0"/>
        <bgColor indexed="64"/>
      </patternFill>
    </fill>
    <fill>
      <patternFill patternType="solid">
        <fgColor rgb="FF1A79C5"/>
        <bgColor indexed="64"/>
      </patternFill>
    </fill>
    <fill>
      <patternFill patternType="solid">
        <fgColor rgb="FF1666A5"/>
        <bgColor indexed="64"/>
      </patternFill>
    </fill>
    <fill>
      <patternFill patternType="solid">
        <fgColor rgb="FF125284"/>
        <bgColor indexed="64"/>
      </patternFill>
    </fill>
    <fill>
      <patternFill patternType="solid">
        <fgColor rgb="FF0A2D48"/>
        <bgColor indexed="64"/>
      </patternFill>
    </fill>
    <fill>
      <patternFill patternType="solid">
        <fgColor rgb="FF0E3E64"/>
        <bgColor indexed="64"/>
      </patternFill>
    </fill>
    <fill>
      <patternFill patternType="solid">
        <fgColor rgb="FF03A9F3"/>
        <bgColor indexed="64"/>
      </patternFill>
    </fill>
    <fill>
      <patternFill patternType="solid">
        <fgColor rgb="FF11AEF4"/>
        <bgColor indexed="64"/>
      </patternFill>
    </fill>
    <fill>
      <patternFill patternType="solid">
        <fgColor rgb="FF039EE2"/>
        <bgColor indexed="64"/>
      </patternFill>
    </fill>
    <fill>
      <patternFill patternType="solid">
        <fgColor rgb="FF0391D0"/>
        <bgColor indexed="64"/>
      </patternFill>
    </fill>
    <fill>
      <patternFill patternType="solid">
        <fgColor rgb="FF0383BC"/>
        <bgColor indexed="64"/>
      </patternFill>
    </fill>
    <fill>
      <patternFill patternType="solid">
        <fgColor rgb="FF25B5F5"/>
        <bgColor indexed="64"/>
      </patternFill>
    </fill>
    <fill>
      <patternFill patternType="solid">
        <fgColor rgb="FF0375A7"/>
        <bgColor indexed="64"/>
      </patternFill>
    </fill>
    <fill>
      <patternFill patternType="solid">
        <fgColor rgb="FF03587E"/>
        <bgColor indexed="64"/>
      </patternFill>
    </fill>
    <fill>
      <patternFill patternType="solid">
        <fgColor rgb="FF59C6F7"/>
        <bgColor indexed="64"/>
      </patternFill>
    </fill>
    <fill>
      <patternFill patternType="solid">
        <fgColor rgb="FF3EBDF6"/>
        <bgColor indexed="64"/>
      </patternFill>
    </fill>
    <fill>
      <patternFill patternType="solid">
        <fgColor rgb="FF036692"/>
        <bgColor indexed="64"/>
      </patternFill>
    </fill>
    <fill>
      <patternFill patternType="solid">
        <fgColor rgb="FF03405B"/>
        <bgColor indexed="64"/>
      </patternFill>
    </fill>
    <fill>
      <patternFill patternType="solid">
        <fgColor rgb="FF75D0F8"/>
        <bgColor indexed="64"/>
      </patternFill>
    </fill>
    <fill>
      <patternFill patternType="solid">
        <fgColor rgb="FF034C6C"/>
        <bgColor indexed="64"/>
      </patternFill>
    </fill>
    <fill>
      <patternFill patternType="solid">
        <fgColor rgb="FF8FD9F9"/>
        <bgColor indexed="64"/>
      </patternFill>
    </fill>
    <fill>
      <patternFill patternType="solid">
        <fgColor rgb="FF02354C"/>
        <bgColor indexed="64"/>
      </patternFill>
    </fill>
    <fill>
      <patternFill patternType="solid">
        <fgColor rgb="FFA6E1FA"/>
        <bgColor indexed="64"/>
      </patternFill>
    </fill>
    <fill>
      <patternFill patternType="solid">
        <fgColor rgb="FF022B3E"/>
        <bgColor indexed="64"/>
      </patternFill>
    </fill>
    <fill>
      <patternFill patternType="solid">
        <fgColor rgb="FF022332"/>
        <bgColor indexed="64"/>
      </patternFill>
    </fill>
    <fill>
      <patternFill patternType="solid">
        <fgColor rgb="FFBAE8FB"/>
        <bgColor indexed="64"/>
      </patternFill>
    </fill>
    <fill>
      <patternFill patternType="solid">
        <fgColor rgb="FFCBEEFC"/>
        <bgColor indexed="64"/>
      </patternFill>
    </fill>
    <fill>
      <patternFill patternType="solid">
        <fgColor rgb="FFD8F2FD"/>
        <bgColor indexed="64"/>
      </patternFill>
    </fill>
    <fill>
      <patternFill patternType="solid">
        <fgColor rgb="FFE3F6FE"/>
        <bgColor indexed="64"/>
      </patternFill>
    </fill>
    <fill>
      <patternFill patternType="solid">
        <fgColor rgb="FFECF9FE"/>
        <bgColor indexed="64"/>
      </patternFill>
    </fill>
    <fill>
      <patternFill patternType="solid">
        <fgColor rgb="FFF2FBFE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67">
    <xf numFmtId="0" fontId="0" fillId="0" borderId="0" xfId="0"/>
    <xf numFmtId="164" fontId="0" fillId="0" borderId="0" xfId="0" applyNumberFormat="1"/>
    <xf numFmtId="0" fontId="0" fillId="2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0" borderId="0" xfId="0" applyAlignment="1">
      <alignment horizontal="left" vertical="top"/>
    </xf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165" fontId="0" fillId="0" borderId="0" xfId="0" applyNumberFormat="1" applyAlignment="1">
      <alignment horizontal="center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1" fillId="0" borderId="0" xfId="0" applyFont="1" applyAlignment="1">
      <alignment horizontal="center" vertical="top"/>
    </xf>
    <xf numFmtId="2" fontId="1" fillId="0" borderId="0" xfId="0" applyNumberFormat="1" applyFont="1"/>
    <xf numFmtId="0" fontId="1" fillId="0" borderId="0" xfId="0" quotePrefix="1" applyFont="1" applyAlignment="1">
      <alignment horizontal="center" vertical="top"/>
    </xf>
    <xf numFmtId="0" fontId="0" fillId="5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6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3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0" borderId="1" xfId="0" applyBorder="1" applyAlignment="1">
      <alignment horizontal="center" vertical="top"/>
    </xf>
    <xf numFmtId="0" fontId="0" fillId="4" borderId="1" xfId="0" applyFill="1" applyBorder="1"/>
    <xf numFmtId="0" fontId="0" fillId="0" borderId="1" xfId="0" applyBorder="1"/>
    <xf numFmtId="165" fontId="0" fillId="0" borderId="1" xfId="0" applyNumberFormat="1" applyBorder="1" applyAlignment="1">
      <alignment horizontal="center"/>
    </xf>
    <xf numFmtId="0" fontId="2" fillId="0" borderId="1" xfId="0" applyFont="1" applyBorder="1"/>
    <xf numFmtId="0" fontId="0" fillId="2" borderId="1" xfId="0" applyFill="1" applyBorder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2" fontId="1" fillId="0" borderId="0" xfId="0" applyNumberFormat="1" applyFont="1"/>
    <xf numFmtId="0" fontId="0" fillId="0" borderId="0" xfId="0" applyBorder="1"/>
    <xf numFmtId="165" fontId="0" fillId="0" borderId="0" xfId="0" applyNumberFormat="1" applyBorder="1" applyAlignment="1">
      <alignment horizontal="center"/>
    </xf>
    <xf numFmtId="1" fontId="1" fillId="0" borderId="0" xfId="0" applyNumberFormat="1" applyFont="1"/>
    <xf numFmtId="2" fontId="1" fillId="0" borderId="0" xfId="0" applyNumberFormat="1" applyFont="1"/>
    <xf numFmtId="166" fontId="0" fillId="0" borderId="0" xfId="0" applyNumberFormat="1" applyAlignment="1">
      <alignment horizontal="center" vertical="top"/>
    </xf>
    <xf numFmtId="166" fontId="0" fillId="0" borderId="1" xfId="0" applyNumberFormat="1" applyBorder="1" applyAlignment="1">
      <alignment horizontal="center" vertical="top"/>
    </xf>
    <xf numFmtId="166" fontId="0" fillId="0" borderId="0" xfId="0" applyNumberFormat="1" applyFill="1" applyBorder="1" applyAlignment="1">
      <alignment horizontal="center" vertical="top"/>
    </xf>
    <xf numFmtId="2" fontId="1" fillId="0" borderId="0" xfId="0" applyNumberFormat="1" applyFont="1"/>
    <xf numFmtId="164" fontId="0" fillId="0" borderId="0" xfId="0" applyNumberFormat="1"/>
    <xf numFmtId="2" fontId="1" fillId="0" borderId="0" xfId="0" applyNumberFormat="1" applyFont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3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FEF8-7692-4BCD-B49A-95662F06BE39}">
  <dimension ref="A1:AW129"/>
  <sheetViews>
    <sheetView tabSelected="1" topLeftCell="O1" zoomScale="146" zoomScaleNormal="146" workbookViewId="0">
      <selection activeCell="V1" sqref="V1"/>
    </sheetView>
  </sheetViews>
  <sheetFormatPr defaultRowHeight="14.4" x14ac:dyDescent="0.3"/>
  <cols>
    <col min="1" max="1" width="10.33203125" customWidth="1"/>
    <col min="2" max="2" width="6.5546875" style="14" customWidth="1"/>
    <col min="3" max="3" width="9.5546875" customWidth="1"/>
    <col min="4" max="4" width="9.33203125" customWidth="1"/>
    <col min="5" max="5" width="4" style="13" customWidth="1"/>
    <col min="6" max="6" width="4" customWidth="1"/>
    <col min="7" max="7" width="4" style="13" customWidth="1"/>
    <col min="8" max="8" width="4" customWidth="1"/>
    <col min="9" max="9" width="4" style="13" customWidth="1"/>
    <col min="10" max="11" width="4" customWidth="1"/>
    <col min="13" max="13" width="6.5546875" customWidth="1"/>
    <col min="14" max="14" width="9.5546875" customWidth="1"/>
    <col min="15" max="15" width="9.33203125" customWidth="1"/>
    <col min="16" max="22" width="4" customWidth="1"/>
    <col min="24" max="24" width="6.5546875" customWidth="1"/>
    <col min="25" max="25" width="9.5546875" customWidth="1"/>
    <col min="26" max="26" width="9.33203125" customWidth="1"/>
    <col min="27" max="29" width="4" customWidth="1"/>
    <col min="30" max="30" width="1.44140625" customWidth="1"/>
    <col min="31" max="34" width="4" customWidth="1"/>
    <col min="35" max="38" width="7.5546875" customWidth="1"/>
    <col min="39" max="39" width="7.44140625" customWidth="1"/>
    <col min="41" max="41" width="6.5546875" customWidth="1"/>
    <col min="42" max="42" width="9.5546875" customWidth="1"/>
    <col min="43" max="43" width="9.33203125" customWidth="1"/>
    <col min="44" max="46" width="4" customWidth="1"/>
    <col min="47" max="47" width="1.44140625" customWidth="1"/>
    <col min="48" max="51" width="4" customWidth="1"/>
    <col min="52" max="55" width="7.5546875" customWidth="1"/>
  </cols>
  <sheetData>
    <row r="1" spans="2:49" ht="37.799999999999997" customHeight="1" x14ac:dyDescent="0.3">
      <c r="V1" s="166" t="s">
        <v>166</v>
      </c>
    </row>
    <row r="2" spans="2:49" x14ac:dyDescent="0.3">
      <c r="E2" s="33" t="s">
        <v>121</v>
      </c>
    </row>
    <row r="3" spans="2:49" x14ac:dyDescent="0.3">
      <c r="E3" s="13" t="s">
        <v>0</v>
      </c>
      <c r="F3" s="13" t="s">
        <v>1</v>
      </c>
      <c r="G3" s="13" t="s">
        <v>2</v>
      </c>
      <c r="I3" s="13" t="s">
        <v>0</v>
      </c>
      <c r="J3" s="13" t="s">
        <v>1</v>
      </c>
      <c r="K3" s="13" t="s">
        <v>2</v>
      </c>
      <c r="W3" t="s">
        <v>165</v>
      </c>
      <c r="Y3" t="s">
        <v>123</v>
      </c>
      <c r="AE3" s="117">
        <v>1</v>
      </c>
      <c r="AG3" s="121">
        <v>1</v>
      </c>
      <c r="AQ3" s="117"/>
      <c r="AR3" s="117"/>
      <c r="AS3" s="117"/>
      <c r="AT3" s="117"/>
      <c r="AW3" s="117"/>
    </row>
    <row r="4" spans="2:49" x14ac:dyDescent="0.3">
      <c r="B4"/>
      <c r="E4" t="s">
        <v>119</v>
      </c>
      <c r="F4" t="s">
        <v>120</v>
      </c>
      <c r="G4">
        <v>0</v>
      </c>
      <c r="I4">
        <f>HEX2DEC(E4)</f>
        <v>255</v>
      </c>
      <c r="J4">
        <f>HEX2DEC(F4)</f>
        <v>127</v>
      </c>
      <c r="K4">
        <f>HEX2DEC(G4)</f>
        <v>0</v>
      </c>
      <c r="AA4" s="13" t="s">
        <v>0</v>
      </c>
      <c r="AB4" s="13" t="s">
        <v>1</v>
      </c>
      <c r="AC4" s="13" t="s">
        <v>2</v>
      </c>
      <c r="AE4" s="13" t="s">
        <v>0</v>
      </c>
      <c r="AF4" s="13" t="s">
        <v>1</v>
      </c>
      <c r="AG4" s="13" t="s">
        <v>2</v>
      </c>
      <c r="AI4" t="s">
        <v>3</v>
      </c>
      <c r="AJ4" t="s">
        <v>6</v>
      </c>
      <c r="AK4" t="s">
        <v>4</v>
      </c>
      <c r="AL4" t="s">
        <v>5</v>
      </c>
      <c r="AQ4" s="121"/>
      <c r="AR4" s="121"/>
      <c r="AS4" s="121"/>
      <c r="AT4" s="121"/>
      <c r="AU4" s="121"/>
      <c r="AW4" s="121"/>
    </row>
    <row r="5" spans="2:49" x14ac:dyDescent="0.3">
      <c r="B5"/>
      <c r="E5"/>
      <c r="G5"/>
      <c r="I5"/>
      <c r="V5" t="s">
        <v>137</v>
      </c>
      <c r="W5" s="120">
        <v>1</v>
      </c>
      <c r="X5" s="122">
        <v>970</v>
      </c>
      <c r="Y5" s="165" t="str">
        <f>SetIt(Y5, AA5, AB5, AC5, "#" &amp; _xlfn.CONCAT(AA5,AB5,AC5))</f>
        <v/>
      </c>
      <c r="Z5" s="118" t="s">
        <v>164</v>
      </c>
      <c r="AA5" s="119" t="str">
        <f>IF(AE5&lt;16,"0","")&amp;DEC2HEX(AE5)</f>
        <v>F2</v>
      </c>
      <c r="AB5" s="119" t="str">
        <f>IF(AF5&lt;16,"0","")&amp;DEC2HEX(AF5)</f>
        <v>FB</v>
      </c>
      <c r="AC5" s="119" t="str">
        <f>IF(AG5&lt;16,"0","")&amp;DEC2HEX(AG5)</f>
        <v>FE</v>
      </c>
      <c r="AE5" s="36">
        <f t="shared" ref="AE5:AE16" si="0">ROUND(AE6*(AL5*AE$3)+AK5,0)</f>
        <v>242</v>
      </c>
      <c r="AF5" s="36">
        <f t="shared" ref="AF5:AF16" si="1">ROUND(AF6*AL5+AK5,0)</f>
        <v>251</v>
      </c>
      <c r="AG5" s="36">
        <f t="shared" ref="AG5:AG16" si="2">MIN(ROUND(AG6*(AL5*AG$3)+AK5,0), 255)</f>
        <v>254</v>
      </c>
      <c r="AI5" s="117">
        <f t="shared" ref="AI5:AI16" si="3">(X5-500)/100 * (AI$18*AJ$18)+AI$18</f>
        <v>0.32642500000000002</v>
      </c>
      <c r="AJ5" s="117" t="b">
        <f>(AI5&lt;0)</f>
        <v>0</v>
      </c>
      <c r="AK5" s="117">
        <f>IF(AJ5,0,255*AI5)</f>
        <v>83.238375000000005</v>
      </c>
      <c r="AL5" s="117">
        <f>IF(AJ5,1+AI5,1-AI5)</f>
        <v>0.67357500000000003</v>
      </c>
      <c r="AM5">
        <f t="shared" ref="AM5:AM16" si="4">(X5-500)/100 * (AI$18*AJ$18)+AI$18</f>
        <v>0.32642500000000002</v>
      </c>
      <c r="AQ5" s="121"/>
      <c r="AR5" s="121"/>
      <c r="AS5" s="121"/>
      <c r="AT5" s="121"/>
      <c r="AU5" s="121"/>
      <c r="AW5" s="121"/>
    </row>
    <row r="6" spans="2:49" x14ac:dyDescent="0.3">
      <c r="V6">
        <v>950</v>
      </c>
      <c r="W6" s="120">
        <v>2</v>
      </c>
      <c r="X6" s="122">
        <v>950</v>
      </c>
      <c r="Y6" s="164" t="str">
        <f t="shared" ref="Y6:Y11" si="5">SetIt(Y6, AA6, AB6, AC6, "#" &amp; _xlfn.CONCAT(AA6,AB6,AC6))</f>
        <v/>
      </c>
      <c r="Z6" s="118" t="s">
        <v>163</v>
      </c>
      <c r="AA6" s="119" t="str">
        <f t="shared" ref="AA6:AA11" si="6">IF(AE6&lt;16,"0","")&amp;DEC2HEX(AE6)</f>
        <v>EC</v>
      </c>
      <c r="AB6" s="119" t="str">
        <f t="shared" ref="AB6:AB11" si="7">IF(AF6&lt;16,"0","")&amp;DEC2HEX(AF6)</f>
        <v>F9</v>
      </c>
      <c r="AC6" s="119" t="str">
        <f t="shared" ref="AC6:AC11" si="8">IF(AG6&lt;16,"0","")&amp;DEC2HEX(AG6)</f>
        <v>FE</v>
      </c>
      <c r="AE6" s="36">
        <f t="shared" si="0"/>
        <v>236</v>
      </c>
      <c r="AF6" s="36">
        <f t="shared" si="1"/>
        <v>249</v>
      </c>
      <c r="AG6" s="36">
        <f t="shared" si="2"/>
        <v>254</v>
      </c>
      <c r="AI6" s="117">
        <f t="shared" si="3"/>
        <v>0.31487500000000002</v>
      </c>
      <c r="AJ6" s="117" t="b">
        <f t="shared" ref="AJ6:AJ11" si="9">(AI6&lt;0)</f>
        <v>0</v>
      </c>
      <c r="AK6" s="117">
        <f t="shared" ref="AK6:AK11" si="10">IF(AJ6,0,255*AI6)</f>
        <v>80.293125000000003</v>
      </c>
      <c r="AL6" s="117">
        <f t="shared" ref="AL6:AL11" si="11">IF(AJ6,1+AI6,1-AI6)</f>
        <v>0.68512499999999998</v>
      </c>
      <c r="AM6">
        <f t="shared" si="4"/>
        <v>0.31487500000000002</v>
      </c>
      <c r="AQ6" s="121"/>
      <c r="AR6" s="121"/>
      <c r="AS6" s="121"/>
      <c r="AT6" s="121"/>
      <c r="AU6" s="121"/>
      <c r="AW6" s="121"/>
    </row>
    <row r="7" spans="2:49" x14ac:dyDescent="0.3">
      <c r="C7" t="s">
        <v>122</v>
      </c>
      <c r="V7">
        <v>900</v>
      </c>
      <c r="W7" s="120">
        <v>3</v>
      </c>
      <c r="X7" s="122">
        <v>900</v>
      </c>
      <c r="Y7" s="163" t="str">
        <f t="shared" si="5"/>
        <v/>
      </c>
      <c r="Z7" s="118" t="s">
        <v>162</v>
      </c>
      <c r="AA7" s="119" t="str">
        <f t="shared" si="6"/>
        <v>E3</v>
      </c>
      <c r="AB7" s="119" t="str">
        <f t="shared" si="7"/>
        <v>F6</v>
      </c>
      <c r="AC7" s="119" t="str">
        <f t="shared" si="8"/>
        <v>FE</v>
      </c>
      <c r="AE7" s="36">
        <f t="shared" si="0"/>
        <v>227</v>
      </c>
      <c r="AF7" s="36">
        <f t="shared" si="1"/>
        <v>246</v>
      </c>
      <c r="AG7" s="36">
        <f t="shared" si="2"/>
        <v>254</v>
      </c>
      <c r="AI7" s="117">
        <f t="shared" si="3"/>
        <v>0.28600000000000003</v>
      </c>
      <c r="AJ7" s="117" t="b">
        <f t="shared" si="9"/>
        <v>0</v>
      </c>
      <c r="AK7" s="117">
        <f t="shared" si="10"/>
        <v>72.930000000000007</v>
      </c>
      <c r="AL7" s="117">
        <f t="shared" si="11"/>
        <v>0.71399999999999997</v>
      </c>
      <c r="AM7">
        <f t="shared" si="4"/>
        <v>0.28600000000000003</v>
      </c>
      <c r="AQ7" s="121"/>
      <c r="AR7" s="121"/>
      <c r="AS7" s="121"/>
      <c r="AT7" s="121"/>
      <c r="AU7" s="121"/>
      <c r="AW7" s="121"/>
    </row>
    <row r="8" spans="2:49" x14ac:dyDescent="0.3">
      <c r="B8"/>
      <c r="E8"/>
      <c r="G8"/>
      <c r="I8"/>
      <c r="V8">
        <v>850</v>
      </c>
      <c r="W8" s="120">
        <v>4</v>
      </c>
      <c r="X8" s="122">
        <v>850</v>
      </c>
      <c r="Y8" s="162" t="str">
        <f t="shared" si="5"/>
        <v/>
      </c>
      <c r="Z8" s="118" t="s">
        <v>161</v>
      </c>
      <c r="AA8" s="119" t="str">
        <f t="shared" si="6"/>
        <v>D8</v>
      </c>
      <c r="AB8" s="119" t="str">
        <f t="shared" si="7"/>
        <v>F2</v>
      </c>
      <c r="AC8" s="119" t="str">
        <f t="shared" si="8"/>
        <v>FD</v>
      </c>
      <c r="AE8" s="36">
        <f t="shared" si="0"/>
        <v>216</v>
      </c>
      <c r="AF8" s="36">
        <f t="shared" si="1"/>
        <v>242</v>
      </c>
      <c r="AG8" s="36">
        <f t="shared" si="2"/>
        <v>253</v>
      </c>
      <c r="AI8" s="117">
        <f t="shared" si="3"/>
        <v>0.25712499999999999</v>
      </c>
      <c r="AJ8" s="117" t="b">
        <f t="shared" si="9"/>
        <v>0</v>
      </c>
      <c r="AK8" s="117">
        <f t="shared" si="10"/>
        <v>65.566874999999996</v>
      </c>
      <c r="AL8" s="117">
        <f t="shared" si="11"/>
        <v>0.74287499999999995</v>
      </c>
      <c r="AM8">
        <f t="shared" si="4"/>
        <v>0.25712499999999999</v>
      </c>
      <c r="AQ8" s="121"/>
      <c r="AR8" s="121"/>
      <c r="AS8" s="121"/>
      <c r="AT8" s="121"/>
      <c r="AU8" s="121"/>
      <c r="AW8" s="121"/>
    </row>
    <row r="9" spans="2:49" x14ac:dyDescent="0.3">
      <c r="B9" s="61"/>
      <c r="C9" s="35"/>
      <c r="D9" s="62"/>
      <c r="E9" s="62"/>
      <c r="F9" s="62"/>
      <c r="G9" s="62"/>
      <c r="H9" s="62"/>
      <c r="I9" s="62">
        <v>1</v>
      </c>
      <c r="K9" s="62">
        <v>1</v>
      </c>
      <c r="V9">
        <v>820</v>
      </c>
      <c r="W9" s="120">
        <v>5</v>
      </c>
      <c r="X9" s="122">
        <v>820</v>
      </c>
      <c r="Y9" s="161" t="str">
        <f t="shared" si="5"/>
        <v/>
      </c>
      <c r="Z9" s="118" t="s">
        <v>160</v>
      </c>
      <c r="AA9" s="119" t="str">
        <f t="shared" si="6"/>
        <v>CB</v>
      </c>
      <c r="AB9" s="119" t="str">
        <f t="shared" si="7"/>
        <v>EE</v>
      </c>
      <c r="AC9" s="119" t="str">
        <f t="shared" si="8"/>
        <v>FC</v>
      </c>
      <c r="AE9" s="36">
        <f t="shared" si="0"/>
        <v>203</v>
      </c>
      <c r="AF9" s="36">
        <f t="shared" si="1"/>
        <v>238</v>
      </c>
      <c r="AG9" s="36">
        <f t="shared" si="2"/>
        <v>252</v>
      </c>
      <c r="AI9" s="117">
        <f t="shared" si="3"/>
        <v>0.23980000000000001</v>
      </c>
      <c r="AJ9" s="117" t="b">
        <f t="shared" si="9"/>
        <v>0</v>
      </c>
      <c r="AK9" s="117">
        <f t="shared" si="10"/>
        <v>61.149000000000001</v>
      </c>
      <c r="AL9" s="117">
        <f t="shared" si="11"/>
        <v>0.76019999999999999</v>
      </c>
      <c r="AM9">
        <f t="shared" si="4"/>
        <v>0.23980000000000001</v>
      </c>
      <c r="AQ9" s="121"/>
      <c r="AR9" s="121"/>
      <c r="AS9" s="121"/>
      <c r="AT9" s="121"/>
      <c r="AU9" s="121"/>
      <c r="AW9" s="121"/>
    </row>
    <row r="10" spans="2:49" x14ac:dyDescent="0.3">
      <c r="B10" s="63"/>
      <c r="C10" s="35"/>
      <c r="D10" s="62"/>
      <c r="E10" s="13" t="s">
        <v>0</v>
      </c>
      <c r="F10" s="13" t="s">
        <v>1</v>
      </c>
      <c r="G10" s="13" t="s">
        <v>2</v>
      </c>
      <c r="I10" s="13" t="s">
        <v>0</v>
      </c>
      <c r="J10" s="13" t="s">
        <v>1</v>
      </c>
      <c r="K10" s="13" t="s">
        <v>2</v>
      </c>
      <c r="L10" t="s">
        <v>3</v>
      </c>
      <c r="M10" t="s">
        <v>6</v>
      </c>
      <c r="N10" t="s">
        <v>4</v>
      </c>
      <c r="O10" t="s">
        <v>5</v>
      </c>
      <c r="V10">
        <v>800</v>
      </c>
      <c r="W10" s="120">
        <v>6</v>
      </c>
      <c r="X10" s="122">
        <v>800</v>
      </c>
      <c r="Y10" s="160" t="str">
        <f t="shared" si="5"/>
        <v/>
      </c>
      <c r="Z10" s="118" t="s">
        <v>159</v>
      </c>
      <c r="AA10" s="119" t="str">
        <f t="shared" si="6"/>
        <v>BA</v>
      </c>
      <c r="AB10" s="119" t="str">
        <f t="shared" si="7"/>
        <v>E8</v>
      </c>
      <c r="AC10" s="119" t="str">
        <f t="shared" si="8"/>
        <v>FB</v>
      </c>
      <c r="AE10" s="36">
        <f t="shared" si="0"/>
        <v>186</v>
      </c>
      <c r="AF10" s="36">
        <f t="shared" si="1"/>
        <v>232</v>
      </c>
      <c r="AG10" s="36">
        <f t="shared" si="2"/>
        <v>251</v>
      </c>
      <c r="AI10" s="117">
        <f t="shared" si="3"/>
        <v>0.22825000000000001</v>
      </c>
      <c r="AJ10" s="117" t="b">
        <f t="shared" si="9"/>
        <v>0</v>
      </c>
      <c r="AK10" s="117">
        <f t="shared" si="10"/>
        <v>58.203749999999999</v>
      </c>
      <c r="AL10" s="117">
        <f t="shared" si="11"/>
        <v>0.77174999999999994</v>
      </c>
      <c r="AM10">
        <f t="shared" si="4"/>
        <v>0.22825000000000001</v>
      </c>
      <c r="AQ10" s="121"/>
      <c r="AR10" s="121"/>
      <c r="AS10" s="121"/>
      <c r="AT10" s="121"/>
      <c r="AU10" s="121"/>
      <c r="AW10" s="121"/>
    </row>
    <row r="11" spans="2:49" x14ac:dyDescent="0.3">
      <c r="B11" s="122">
        <v>950</v>
      </c>
      <c r="C11" s="128" t="str">
        <f t="shared" ref="C11:C24" si="12">SetIt(C11, E11, F11, G11, "#" &amp; _xlfn.CONCAT(E11,F11,G11))</f>
        <v/>
      </c>
      <c r="D11" s="118" t="s">
        <v>124</v>
      </c>
      <c r="E11" s="119" t="str">
        <f t="shared" ref="E11:E24" si="13">IF(I11&lt;16,"0","")&amp;DEC2HEX(I11)</f>
        <v>F9</v>
      </c>
      <c r="F11" s="119" t="str">
        <f t="shared" ref="F11:F24" si="14">IF(J11&lt;16,"0","")&amp;DEC2HEX(J11)</f>
        <v>FC</v>
      </c>
      <c r="G11" s="119" t="str">
        <f t="shared" ref="G11:G24" si="15">IF(K11&lt;16,"0","")&amp;DEC2HEX(K11)</f>
        <v>FF</v>
      </c>
      <c r="I11" s="36">
        <f t="shared" ref="I11:I17" si="16">ROUND(I12*(O11*I$9)+N11,0)</f>
        <v>249</v>
      </c>
      <c r="J11" s="36">
        <f t="shared" ref="J11:J17" si="17">ROUND(J12*O11+N11,0)</f>
        <v>252</v>
      </c>
      <c r="K11" s="36">
        <f t="shared" ref="K11:K17" si="18">MIN(ROUND(K12*(O11*K$9)+N11,0), 255)</f>
        <v>255</v>
      </c>
      <c r="L11" s="62">
        <f>L12+(L$18*M$18)</f>
        <v>0.72</v>
      </c>
      <c r="M11" s="62" t="b">
        <f t="shared" ref="M11:M17" si="19">(L11&lt;0)</f>
        <v>0</v>
      </c>
      <c r="N11" s="62">
        <f t="shared" ref="N11:N17" si="20">IF(M11,0,255*L11)</f>
        <v>183.6</v>
      </c>
      <c r="O11" s="62">
        <f t="shared" ref="O11:O17" si="21">IF(M11,1+L11,1-L11)</f>
        <v>0.28000000000000003</v>
      </c>
      <c r="V11">
        <v>760</v>
      </c>
      <c r="W11" s="120">
        <v>7</v>
      </c>
      <c r="X11" s="122">
        <v>760</v>
      </c>
      <c r="Y11" s="157" t="str">
        <f t="shared" si="5"/>
        <v/>
      </c>
      <c r="Z11" s="118" t="s">
        <v>156</v>
      </c>
      <c r="AA11" s="119" t="str">
        <f t="shared" si="6"/>
        <v>A6</v>
      </c>
      <c r="AB11" s="119" t="str">
        <f t="shared" si="7"/>
        <v>E1</v>
      </c>
      <c r="AC11" s="119" t="str">
        <f t="shared" si="8"/>
        <v>FA</v>
      </c>
      <c r="AE11" s="36">
        <f t="shared" si="0"/>
        <v>166</v>
      </c>
      <c r="AF11" s="36">
        <f t="shared" si="1"/>
        <v>225</v>
      </c>
      <c r="AG11" s="36">
        <f t="shared" si="2"/>
        <v>250</v>
      </c>
      <c r="AI11" s="117">
        <f t="shared" si="3"/>
        <v>0.20515</v>
      </c>
      <c r="AJ11" s="117" t="b">
        <f t="shared" si="9"/>
        <v>0</v>
      </c>
      <c r="AK11" s="117">
        <f t="shared" si="10"/>
        <v>52.313249999999996</v>
      </c>
      <c r="AL11" s="117">
        <f t="shared" si="11"/>
        <v>0.79485000000000006</v>
      </c>
      <c r="AM11">
        <f t="shared" si="4"/>
        <v>0.20515</v>
      </c>
      <c r="AQ11" s="121"/>
      <c r="AR11" s="121"/>
      <c r="AS11" s="121"/>
      <c r="AT11" s="121"/>
      <c r="AU11" s="121"/>
      <c r="AW11" s="121"/>
    </row>
    <row r="12" spans="2:49" x14ac:dyDescent="0.3">
      <c r="B12" s="122">
        <v>900</v>
      </c>
      <c r="C12" s="134" t="str">
        <f t="shared" si="12"/>
        <v/>
      </c>
      <c r="D12" s="118" t="s">
        <v>130</v>
      </c>
      <c r="E12" s="119" t="str">
        <f t="shared" si="13"/>
        <v>EB</v>
      </c>
      <c r="F12" s="119" t="str">
        <f t="shared" si="14"/>
        <v>F6</v>
      </c>
      <c r="G12" s="119" t="str">
        <f t="shared" si="15"/>
        <v>FE</v>
      </c>
      <c r="I12" s="36">
        <f>ROUND(I14*(O12*I$9)+N12,0)</f>
        <v>235</v>
      </c>
      <c r="J12" s="36">
        <f>ROUND(J14*O12+N12,0)</f>
        <v>246</v>
      </c>
      <c r="K12" s="36">
        <f>MIN(ROUND(K14*(O12*K$9)+N12,0), 255)</f>
        <v>254</v>
      </c>
      <c r="L12" s="62">
        <f>L14+(L$18*M$18)</f>
        <v>0.6</v>
      </c>
      <c r="M12" s="62" t="b">
        <f t="shared" si="19"/>
        <v>0</v>
      </c>
      <c r="N12" s="62">
        <f t="shared" si="20"/>
        <v>153</v>
      </c>
      <c r="O12" s="62">
        <f t="shared" si="21"/>
        <v>0.4</v>
      </c>
      <c r="V12">
        <v>730</v>
      </c>
      <c r="W12" s="120">
        <v>8</v>
      </c>
      <c r="X12" s="122">
        <v>730</v>
      </c>
      <c r="Y12" s="155" t="str">
        <f t="shared" ref="Y12:Y20" si="22">SetIt(Y12, AA12, AB12, AC12, "#" &amp; _xlfn.CONCAT(AA12,AB12,AC12))</f>
        <v/>
      </c>
      <c r="Z12" s="118" t="s">
        <v>154</v>
      </c>
      <c r="AA12" s="119" t="str">
        <f t="shared" ref="AA12:AA20" si="23">IF(AE12&lt;16,"0","")&amp;DEC2HEX(AE12)</f>
        <v>8F</v>
      </c>
      <c r="AB12" s="119" t="str">
        <f t="shared" ref="AB12:AB20" si="24">IF(AF12&lt;16,"0","")&amp;DEC2HEX(AF12)</f>
        <v>D9</v>
      </c>
      <c r="AC12" s="119" t="str">
        <f t="shared" ref="AC12:AC20" si="25">IF(AG12&lt;16,"0","")&amp;DEC2HEX(AG12)</f>
        <v>F9</v>
      </c>
      <c r="AE12" s="36">
        <f t="shared" si="0"/>
        <v>143</v>
      </c>
      <c r="AF12" s="36">
        <f t="shared" si="1"/>
        <v>217</v>
      </c>
      <c r="AG12" s="36">
        <f t="shared" si="2"/>
        <v>249</v>
      </c>
      <c r="AI12" s="117">
        <f t="shared" si="3"/>
        <v>0.18782499999999999</v>
      </c>
      <c r="AJ12" s="117" t="b">
        <f t="shared" ref="AJ12:AJ17" si="26">(AI12&lt;0)</f>
        <v>0</v>
      </c>
      <c r="AK12" s="117">
        <f t="shared" ref="AK12:AK17" si="27">IF(AJ12,0,255*AI12)</f>
        <v>47.895375000000001</v>
      </c>
      <c r="AL12" s="117">
        <f t="shared" ref="AL12:AL17" si="28">IF(AJ12,1+AI12,1-AI12)</f>
        <v>0.81217499999999998</v>
      </c>
      <c r="AM12">
        <f t="shared" si="4"/>
        <v>0.18782499999999999</v>
      </c>
      <c r="AQ12" s="121"/>
      <c r="AR12" s="121"/>
      <c r="AS12" s="121"/>
      <c r="AT12" s="121"/>
      <c r="AU12" s="121"/>
      <c r="AW12" s="121"/>
    </row>
    <row r="13" spans="2:49" x14ac:dyDescent="0.3">
      <c r="B13" s="122">
        <v>850</v>
      </c>
      <c r="C13" s="134" t="str">
        <f t="shared" ref="C13" si="29">SetIt(C13, E13, F13, G13, "#" &amp; _xlfn.CONCAT(E13,F13,G13))</f>
        <v/>
      </c>
      <c r="D13" s="118" t="s">
        <v>130</v>
      </c>
      <c r="E13" s="119" t="str">
        <f t="shared" ref="E13" si="30">IF(I13&lt;16,"0","")&amp;DEC2HEX(I13)</f>
        <v>EB</v>
      </c>
      <c r="F13" s="119" t="str">
        <f t="shared" ref="F13" si="31">IF(J13&lt;16,"0","")&amp;DEC2HEX(J13)</f>
        <v>F6</v>
      </c>
      <c r="G13" s="119" t="str">
        <f t="shared" ref="G13" si="32">IF(K13&lt;16,"0","")&amp;DEC2HEX(K13)</f>
        <v>FE</v>
      </c>
      <c r="I13" s="36">
        <f t="shared" ref="I13" si="33">ROUND(I14*(O13*I$9)+N13,0)</f>
        <v>235</v>
      </c>
      <c r="J13" s="36">
        <f t="shared" ref="J13" si="34">ROUND(J14*O13+N13,0)</f>
        <v>246</v>
      </c>
      <c r="K13" s="36">
        <f t="shared" ref="K13" si="35">MIN(ROUND(K14*(O13*K$9)+N13,0), 255)</f>
        <v>254</v>
      </c>
      <c r="L13" s="125">
        <f>L14+(L$18*M$18)</f>
        <v>0.6</v>
      </c>
      <c r="M13" s="125" t="b">
        <f t="shared" ref="M13" si="36">(L13&lt;0)</f>
        <v>0</v>
      </c>
      <c r="N13" s="125">
        <f t="shared" ref="N13" si="37">IF(M13,0,255*L13)</f>
        <v>153</v>
      </c>
      <c r="O13" s="125">
        <f t="shared" ref="O13" si="38">IF(M13,1+L13,1-L13)</f>
        <v>0.4</v>
      </c>
      <c r="V13">
        <v>700</v>
      </c>
      <c r="W13" s="120">
        <v>9</v>
      </c>
      <c r="X13" s="122">
        <v>700</v>
      </c>
      <c r="Y13" s="153" t="str">
        <f t="shared" si="22"/>
        <v/>
      </c>
      <c r="Z13" s="118" t="s">
        <v>152</v>
      </c>
      <c r="AA13" s="119" t="str">
        <f t="shared" si="23"/>
        <v>75</v>
      </c>
      <c r="AB13" s="119" t="str">
        <f t="shared" si="24"/>
        <v>D0</v>
      </c>
      <c r="AC13" s="119" t="str">
        <f t="shared" si="25"/>
        <v>F8</v>
      </c>
      <c r="AE13" s="36">
        <f t="shared" si="0"/>
        <v>117</v>
      </c>
      <c r="AF13" s="36">
        <f t="shared" si="1"/>
        <v>208</v>
      </c>
      <c r="AG13" s="36">
        <f t="shared" si="2"/>
        <v>248</v>
      </c>
      <c r="AI13" s="117">
        <f t="shared" si="3"/>
        <v>0.17050000000000001</v>
      </c>
      <c r="AJ13" s="117" t="b">
        <f t="shared" si="26"/>
        <v>0</v>
      </c>
      <c r="AK13" s="117">
        <f t="shared" si="27"/>
        <v>43.477500000000006</v>
      </c>
      <c r="AL13" s="117">
        <f t="shared" si="28"/>
        <v>0.82950000000000002</v>
      </c>
      <c r="AM13">
        <f t="shared" si="4"/>
        <v>0.17050000000000001</v>
      </c>
      <c r="AQ13" s="121"/>
      <c r="AR13" s="121"/>
      <c r="AS13" s="121"/>
      <c r="AT13" s="121"/>
      <c r="AU13" s="121"/>
      <c r="AW13" s="121"/>
    </row>
    <row r="14" spans="2:49" x14ac:dyDescent="0.3">
      <c r="B14" s="122">
        <v>800</v>
      </c>
      <c r="C14" s="133" t="str">
        <f t="shared" si="12"/>
        <v/>
      </c>
      <c r="D14" s="118" t="s">
        <v>129</v>
      </c>
      <c r="E14" s="119" t="str">
        <f t="shared" si="13"/>
        <v>CE</v>
      </c>
      <c r="F14" s="119" t="str">
        <f t="shared" si="14"/>
        <v>E8</v>
      </c>
      <c r="G14" s="119" t="str">
        <f t="shared" si="15"/>
        <v>FC</v>
      </c>
      <c r="I14" s="36">
        <f t="shared" si="16"/>
        <v>206</v>
      </c>
      <c r="J14" s="36">
        <f t="shared" si="17"/>
        <v>232</v>
      </c>
      <c r="K14" s="36">
        <f t="shared" si="18"/>
        <v>252</v>
      </c>
      <c r="L14" s="62">
        <f>L15+(L$18*M$18)</f>
        <v>0.48</v>
      </c>
      <c r="M14" s="62" t="b">
        <f t="shared" si="19"/>
        <v>0</v>
      </c>
      <c r="N14" s="62">
        <f t="shared" si="20"/>
        <v>122.39999999999999</v>
      </c>
      <c r="O14" s="62">
        <f t="shared" si="21"/>
        <v>0.52</v>
      </c>
      <c r="V14">
        <v>650</v>
      </c>
      <c r="W14" s="120">
        <v>10</v>
      </c>
      <c r="X14" s="122">
        <v>650</v>
      </c>
      <c r="Y14" s="149" t="str">
        <f t="shared" si="22"/>
        <v/>
      </c>
      <c r="Z14" s="118" t="s">
        <v>148</v>
      </c>
      <c r="AA14" s="119" t="str">
        <f t="shared" si="23"/>
        <v>59</v>
      </c>
      <c r="AB14" s="119" t="str">
        <f t="shared" si="24"/>
        <v>C6</v>
      </c>
      <c r="AC14" s="119" t="str">
        <f t="shared" si="25"/>
        <v>F7</v>
      </c>
      <c r="AE14" s="36">
        <f t="shared" si="0"/>
        <v>89</v>
      </c>
      <c r="AF14" s="36">
        <f t="shared" si="1"/>
        <v>198</v>
      </c>
      <c r="AG14" s="36">
        <f t="shared" si="2"/>
        <v>247</v>
      </c>
      <c r="AI14" s="117">
        <f t="shared" si="3"/>
        <v>0.141625</v>
      </c>
      <c r="AJ14" s="117" t="b">
        <f t="shared" si="26"/>
        <v>0</v>
      </c>
      <c r="AK14" s="117">
        <f t="shared" si="27"/>
        <v>36.114375000000003</v>
      </c>
      <c r="AL14" s="117">
        <f t="shared" si="28"/>
        <v>0.858375</v>
      </c>
      <c r="AM14">
        <f t="shared" si="4"/>
        <v>0.141625</v>
      </c>
      <c r="AQ14" s="121"/>
      <c r="AR14" s="121"/>
      <c r="AS14" s="121"/>
      <c r="AT14" s="121"/>
      <c r="AU14" s="121"/>
      <c r="AW14" s="121"/>
    </row>
    <row r="15" spans="2:49" x14ac:dyDescent="0.3">
      <c r="B15" s="122">
        <v>700</v>
      </c>
      <c r="C15" s="132" t="str">
        <f t="shared" si="12"/>
        <v/>
      </c>
      <c r="D15" s="118" t="s">
        <v>128</v>
      </c>
      <c r="E15" s="119" t="str">
        <f t="shared" si="13"/>
        <v>A0</v>
      </c>
      <c r="F15" s="119" t="str">
        <f t="shared" si="14"/>
        <v>D2</v>
      </c>
      <c r="G15" s="119" t="str">
        <f t="shared" si="15"/>
        <v>FA</v>
      </c>
      <c r="I15" s="36">
        <f t="shared" si="16"/>
        <v>160</v>
      </c>
      <c r="J15" s="36">
        <f t="shared" si="17"/>
        <v>210</v>
      </c>
      <c r="K15" s="36">
        <f t="shared" si="18"/>
        <v>250</v>
      </c>
      <c r="L15" s="62">
        <f>L16+(L$18*M$18)</f>
        <v>0.36</v>
      </c>
      <c r="M15" s="62" t="b">
        <f t="shared" si="19"/>
        <v>0</v>
      </c>
      <c r="N15" s="62">
        <f t="shared" si="20"/>
        <v>91.8</v>
      </c>
      <c r="O15" s="62">
        <f t="shared" si="21"/>
        <v>0.64</v>
      </c>
      <c r="V15">
        <v>600</v>
      </c>
      <c r="W15" s="120">
        <v>11</v>
      </c>
      <c r="X15" s="122">
        <v>600</v>
      </c>
      <c r="Y15" s="150" t="str">
        <f t="shared" si="22"/>
        <v/>
      </c>
      <c r="Z15" s="118" t="s">
        <v>149</v>
      </c>
      <c r="AA15" s="119" t="str">
        <f t="shared" si="23"/>
        <v>3E</v>
      </c>
      <c r="AB15" s="119" t="str">
        <f t="shared" si="24"/>
        <v>BD</v>
      </c>
      <c r="AC15" s="119" t="str">
        <f t="shared" si="25"/>
        <v>F6</v>
      </c>
      <c r="AE15" s="36">
        <f t="shared" si="0"/>
        <v>62</v>
      </c>
      <c r="AF15" s="36">
        <f t="shared" si="1"/>
        <v>189</v>
      </c>
      <c r="AG15" s="36">
        <f t="shared" si="2"/>
        <v>246</v>
      </c>
      <c r="AI15" s="117">
        <f t="shared" si="3"/>
        <v>0.11275</v>
      </c>
      <c r="AJ15" s="117" t="b">
        <f t="shared" si="26"/>
        <v>0</v>
      </c>
      <c r="AK15" s="117">
        <f t="shared" si="27"/>
        <v>28.751250000000002</v>
      </c>
      <c r="AL15" s="117">
        <f t="shared" si="28"/>
        <v>0.88724999999999998</v>
      </c>
      <c r="AM15">
        <f t="shared" si="4"/>
        <v>0.11275</v>
      </c>
      <c r="AQ15" s="121"/>
      <c r="AR15" s="121"/>
      <c r="AS15" s="121"/>
      <c r="AT15" s="121"/>
      <c r="AU15" s="121"/>
      <c r="AW15" s="121"/>
    </row>
    <row r="16" spans="2:49" x14ac:dyDescent="0.3">
      <c r="B16" s="122">
        <v>600</v>
      </c>
      <c r="C16" s="130" t="str">
        <f t="shared" si="12"/>
        <v/>
      </c>
      <c r="D16" s="118" t="s">
        <v>126</v>
      </c>
      <c r="E16" s="119" t="str">
        <f t="shared" si="13"/>
        <v>6B</v>
      </c>
      <c r="F16" s="119" t="str">
        <f t="shared" si="14"/>
        <v>B9</v>
      </c>
      <c r="G16" s="119" t="str">
        <f t="shared" si="15"/>
        <v>F7</v>
      </c>
      <c r="I16" s="36">
        <f t="shared" si="16"/>
        <v>107</v>
      </c>
      <c r="J16" s="36">
        <f t="shared" si="17"/>
        <v>185</v>
      </c>
      <c r="K16" s="36">
        <f t="shared" si="18"/>
        <v>247</v>
      </c>
      <c r="L16" s="62">
        <f>L17+(L$18*M$18)</f>
        <v>0.24</v>
      </c>
      <c r="M16" s="62" t="b">
        <f t="shared" si="19"/>
        <v>0</v>
      </c>
      <c r="N16" s="62">
        <f t="shared" si="20"/>
        <v>61.199999999999996</v>
      </c>
      <c r="O16" s="62">
        <f t="shared" si="21"/>
        <v>0.76</v>
      </c>
      <c r="V16">
        <v>550</v>
      </c>
      <c r="W16" s="120">
        <v>12</v>
      </c>
      <c r="X16" s="122">
        <v>550</v>
      </c>
      <c r="Y16" s="146" t="str">
        <f t="shared" si="22"/>
        <v/>
      </c>
      <c r="Z16" s="118" t="s">
        <v>145</v>
      </c>
      <c r="AA16" s="119" t="str">
        <f t="shared" si="23"/>
        <v>25</v>
      </c>
      <c r="AB16" s="119" t="str">
        <f t="shared" si="24"/>
        <v>B5</v>
      </c>
      <c r="AC16" s="119" t="str">
        <f t="shared" si="25"/>
        <v>F5</v>
      </c>
      <c r="AE16" s="36">
        <f t="shared" si="0"/>
        <v>37</v>
      </c>
      <c r="AF16" s="36">
        <f t="shared" si="1"/>
        <v>181</v>
      </c>
      <c r="AG16" s="36">
        <f t="shared" si="2"/>
        <v>245</v>
      </c>
      <c r="AI16" s="117">
        <f t="shared" si="3"/>
        <v>8.3875000000000005E-2</v>
      </c>
      <c r="AJ16" s="117" t="b">
        <f t="shared" si="26"/>
        <v>0</v>
      </c>
      <c r="AK16" s="117">
        <f t="shared" si="27"/>
        <v>21.388125000000002</v>
      </c>
      <c r="AL16" s="117">
        <f>IF(AJ16,1+AI16,1-AI16)</f>
        <v>0.91612499999999997</v>
      </c>
      <c r="AM16">
        <f t="shared" si="4"/>
        <v>8.3875000000000005E-2</v>
      </c>
      <c r="AQ16" s="121"/>
      <c r="AR16" s="121"/>
      <c r="AS16" s="121"/>
      <c r="AT16" s="121"/>
      <c r="AU16" s="121"/>
      <c r="AW16" s="121"/>
    </row>
    <row r="17" spans="2:49" ht="15" thickBot="1" x14ac:dyDescent="0.35">
      <c r="B17" s="122">
        <v>500</v>
      </c>
      <c r="C17" s="131" t="str">
        <f t="shared" si="12"/>
        <v/>
      </c>
      <c r="D17" s="118" t="s">
        <v>127</v>
      </c>
      <c r="E17" s="119" t="str">
        <f t="shared" si="13"/>
        <v>3C</v>
      </c>
      <c r="F17" s="119" t="str">
        <f t="shared" si="14"/>
        <v>A3</v>
      </c>
      <c r="G17" s="119" t="str">
        <f t="shared" si="15"/>
        <v>F4</v>
      </c>
      <c r="I17" s="36">
        <f t="shared" si="16"/>
        <v>60</v>
      </c>
      <c r="J17" s="36">
        <f t="shared" si="17"/>
        <v>163</v>
      </c>
      <c r="K17" s="36">
        <f t="shared" si="18"/>
        <v>244</v>
      </c>
      <c r="L17" s="62">
        <f>L18</f>
        <v>0.12</v>
      </c>
      <c r="M17" s="62" t="b">
        <f t="shared" si="19"/>
        <v>0</v>
      </c>
      <c r="N17" s="62">
        <f t="shared" si="20"/>
        <v>30.599999999999998</v>
      </c>
      <c r="O17" s="62">
        <f t="shared" si="21"/>
        <v>0.88</v>
      </c>
      <c r="V17">
        <v>500</v>
      </c>
      <c r="W17" s="120">
        <v>13</v>
      </c>
      <c r="X17" s="122">
        <v>500</v>
      </c>
      <c r="Y17" s="142" t="str">
        <f t="shared" si="22"/>
        <v/>
      </c>
      <c r="Z17" s="118" t="s">
        <v>141</v>
      </c>
      <c r="AA17" s="119" t="str">
        <f t="shared" si="23"/>
        <v>11</v>
      </c>
      <c r="AB17" s="119" t="str">
        <f t="shared" si="24"/>
        <v>AE</v>
      </c>
      <c r="AC17" s="119" t="str">
        <f t="shared" si="25"/>
        <v>F4</v>
      </c>
      <c r="AE17" s="36">
        <f>ROUND(AE18*(AL17*AE$3)+AK17,0)</f>
        <v>17</v>
      </c>
      <c r="AF17" s="36">
        <f>ROUND(AF18*AL17+AK17,0)</f>
        <v>174</v>
      </c>
      <c r="AG17" s="36">
        <f>MIN(ROUND(AG18*(AL17*AG$3)+AK17,0), 255)</f>
        <v>244</v>
      </c>
      <c r="AI17" s="117">
        <f>AI18</f>
        <v>5.5E-2</v>
      </c>
      <c r="AJ17" s="117" t="b">
        <f t="shared" si="26"/>
        <v>0</v>
      </c>
      <c r="AK17" s="117">
        <f t="shared" si="27"/>
        <v>14.025</v>
      </c>
      <c r="AL17" s="117">
        <f t="shared" si="28"/>
        <v>0.94499999999999995</v>
      </c>
      <c r="AQ17" s="121"/>
      <c r="AR17" s="121"/>
      <c r="AS17" s="121"/>
      <c r="AT17" s="121"/>
      <c r="AU17" s="121"/>
      <c r="AW17" s="121"/>
    </row>
    <row r="18" spans="2:49" ht="15.6" thickTop="1" thickBot="1" x14ac:dyDescent="0.35">
      <c r="B18" s="123">
        <v>450</v>
      </c>
      <c r="C18" s="129" t="str">
        <f t="shared" si="12"/>
        <v/>
      </c>
      <c r="D18" s="118" t="s">
        <v>125</v>
      </c>
      <c r="E18" s="119" t="str">
        <f t="shared" si="13"/>
        <v>21</v>
      </c>
      <c r="F18" s="119" t="str">
        <f t="shared" si="14"/>
        <v>96</v>
      </c>
      <c r="G18" s="119" t="str">
        <f t="shared" si="15"/>
        <v>F3</v>
      </c>
      <c r="I18" s="106">
        <v>33</v>
      </c>
      <c r="J18" s="106">
        <v>150</v>
      </c>
      <c r="K18" s="106">
        <v>243</v>
      </c>
      <c r="L18" s="62">
        <v>0.12</v>
      </c>
      <c r="M18" s="62">
        <v>1</v>
      </c>
      <c r="N18" s="62">
        <v>-0.04</v>
      </c>
      <c r="O18" s="62">
        <v>1</v>
      </c>
      <c r="R18" s="104"/>
      <c r="S18" s="104"/>
      <c r="T18" s="104"/>
      <c r="U18" s="104"/>
      <c r="V18" s="104">
        <v>450</v>
      </c>
      <c r="W18" s="120">
        <v>14</v>
      </c>
      <c r="X18" s="123">
        <v>450</v>
      </c>
      <c r="Y18" s="141" t="str">
        <f t="shared" si="22"/>
        <v/>
      </c>
      <c r="Z18" s="118" t="s">
        <v>140</v>
      </c>
      <c r="AA18" s="119" t="str">
        <f t="shared" si="23"/>
        <v>03</v>
      </c>
      <c r="AB18" s="119" t="str">
        <f t="shared" si="24"/>
        <v>A9</v>
      </c>
      <c r="AC18" s="119" t="str">
        <f t="shared" si="25"/>
        <v>F3</v>
      </c>
      <c r="AE18" s="106">
        <v>3</v>
      </c>
      <c r="AF18" s="106">
        <v>169</v>
      </c>
      <c r="AG18" s="106">
        <v>243</v>
      </c>
      <c r="AI18" s="117">
        <v>5.5E-2</v>
      </c>
      <c r="AJ18" s="117">
        <v>1.05</v>
      </c>
      <c r="AK18" s="117">
        <v>-0.05</v>
      </c>
      <c r="AL18" s="117">
        <v>0.6</v>
      </c>
      <c r="AQ18" s="121"/>
      <c r="AR18" s="121"/>
      <c r="AS18" s="121"/>
      <c r="AT18" s="121"/>
      <c r="AU18" s="121"/>
      <c r="AW18" s="121"/>
    </row>
    <row r="19" spans="2:49" ht="15" thickTop="1" x14ac:dyDescent="0.3">
      <c r="B19" s="122">
        <v>400</v>
      </c>
      <c r="C19" s="135" t="str">
        <f t="shared" si="12"/>
        <v/>
      </c>
      <c r="D19" s="118" t="s">
        <v>131</v>
      </c>
      <c r="E19" s="119" t="str">
        <f t="shared" si="13"/>
        <v>1E</v>
      </c>
      <c r="F19" s="119" t="str">
        <f t="shared" si="14"/>
        <v>8A</v>
      </c>
      <c r="G19" s="119" t="str">
        <f t="shared" si="15"/>
        <v>E0</v>
      </c>
      <c r="I19" s="36">
        <f t="shared" ref="I19:I24" si="39">ROUND(I18*(O19*I$9)+N19,0)</f>
        <v>30</v>
      </c>
      <c r="J19" s="36">
        <f t="shared" ref="J19:J24" si="40">ROUND(J18*O19+N19,0)</f>
        <v>138</v>
      </c>
      <c r="K19" s="36">
        <f t="shared" ref="K19:K24" si="41">MIN(ROUND(K18*(O19*K$9)+N19,0), 255)</f>
        <v>224</v>
      </c>
      <c r="L19" s="62">
        <f>2*N18</f>
        <v>-0.08</v>
      </c>
      <c r="M19" s="62" t="b">
        <f t="shared" ref="M19:M24" si="42">(L19&lt;0)</f>
        <v>1</v>
      </c>
      <c r="N19" s="62">
        <f t="shared" ref="N19:N24" si="43">IF(M19,0,255*L19)</f>
        <v>0</v>
      </c>
      <c r="O19" s="62">
        <f t="shared" ref="O19:O24" si="44">IF(M19,1+L19,1-L19)</f>
        <v>0.92</v>
      </c>
      <c r="V19">
        <v>440</v>
      </c>
      <c r="W19" s="120">
        <v>15</v>
      </c>
      <c r="X19" s="124">
        <v>440</v>
      </c>
      <c r="Y19" s="143" t="str">
        <f t="shared" si="22"/>
        <v/>
      </c>
      <c r="Z19" s="118" t="s">
        <v>142</v>
      </c>
      <c r="AA19" s="119" t="str">
        <f t="shared" si="23"/>
        <v>03</v>
      </c>
      <c r="AB19" s="119" t="str">
        <f t="shared" si="24"/>
        <v>9E</v>
      </c>
      <c r="AC19" s="119" t="str">
        <f t="shared" si="25"/>
        <v>E2</v>
      </c>
      <c r="AE19" s="36">
        <f>ROUND(AE18*(AL19*AE$3)+AK19,0)</f>
        <v>3</v>
      </c>
      <c r="AF19" s="36">
        <f>ROUND(AF18*AL19+AK19,0)</f>
        <v>158</v>
      </c>
      <c r="AG19" s="36">
        <f>MIN(ROUND(AG18*(AL19*AG$3)+AK19,0), 255)</f>
        <v>226</v>
      </c>
      <c r="AI19" s="117">
        <f>(500-X19)/100 * (AK$18*AL$18)+AK$18</f>
        <v>-6.8000000000000005E-2</v>
      </c>
      <c r="AJ19" s="117" t="b">
        <f t="shared" ref="AJ19:AJ29" si="45">(AI19&lt;0)</f>
        <v>1</v>
      </c>
      <c r="AK19" s="117">
        <f t="shared" ref="AK19:AK29" si="46">IF(AJ19,0,255*AI19)</f>
        <v>0</v>
      </c>
      <c r="AL19" s="117">
        <f t="shared" ref="AL19:AL29" si="47">IF(AJ19,1+AI19,1-AI19)</f>
        <v>0.93199999999999994</v>
      </c>
      <c r="AM19">
        <f t="shared" ref="AM19:AM29" si="48">(500-X19)/100 * (AK$18*AL$18)+AK$18</f>
        <v>-6.8000000000000005E-2</v>
      </c>
      <c r="AQ19" s="121"/>
      <c r="AR19" s="121"/>
      <c r="AS19" s="121"/>
      <c r="AT19" s="121"/>
      <c r="AU19" s="121"/>
      <c r="AW19" s="121"/>
    </row>
    <row r="20" spans="2:49" x14ac:dyDescent="0.3">
      <c r="B20" s="122">
        <v>300</v>
      </c>
      <c r="C20" s="136" t="str">
        <f t="shared" si="12"/>
        <v/>
      </c>
      <c r="D20" s="118" t="s">
        <v>132</v>
      </c>
      <c r="E20" s="119" t="str">
        <f t="shared" si="13"/>
        <v>1A</v>
      </c>
      <c r="F20" s="119" t="str">
        <f t="shared" si="14"/>
        <v>79</v>
      </c>
      <c r="G20" s="119" t="str">
        <f t="shared" si="15"/>
        <v>C5</v>
      </c>
      <c r="I20" s="36">
        <f t="shared" si="39"/>
        <v>26</v>
      </c>
      <c r="J20" s="36">
        <f t="shared" si="40"/>
        <v>121</v>
      </c>
      <c r="K20" s="36">
        <f t="shared" si="41"/>
        <v>197</v>
      </c>
      <c r="L20" s="62">
        <f>L19+(N$18*O$18)</f>
        <v>-0.12</v>
      </c>
      <c r="M20" s="62" t="b">
        <f t="shared" si="42"/>
        <v>1</v>
      </c>
      <c r="N20" s="62">
        <f t="shared" si="43"/>
        <v>0</v>
      </c>
      <c r="O20" s="62">
        <f t="shared" si="44"/>
        <v>0.88</v>
      </c>
      <c r="V20">
        <v>400</v>
      </c>
      <c r="W20" s="120">
        <v>16</v>
      </c>
      <c r="X20" s="122">
        <v>400</v>
      </c>
      <c r="Y20" s="144" t="str">
        <f t="shared" si="22"/>
        <v/>
      </c>
      <c r="Z20" s="118" t="s">
        <v>143</v>
      </c>
      <c r="AA20" s="119" t="str">
        <f t="shared" si="23"/>
        <v>03</v>
      </c>
      <c r="AB20" s="119" t="str">
        <f t="shared" si="24"/>
        <v>91</v>
      </c>
      <c r="AC20" s="119" t="str">
        <f t="shared" si="25"/>
        <v>D0</v>
      </c>
      <c r="AE20" s="36">
        <f t="shared" ref="AE20:AE29" si="49">ROUND(AE19*(AL20*AE$3)+AK20,0)</f>
        <v>3</v>
      </c>
      <c r="AF20" s="36">
        <f t="shared" ref="AF20:AF29" si="50">ROUND(AF19*AL20+AK20,0)</f>
        <v>145</v>
      </c>
      <c r="AG20" s="36">
        <f t="shared" ref="AG20:AG29" si="51">MIN(ROUND(AG19*(AL20*AG$3)+AK20,0), 255)</f>
        <v>208</v>
      </c>
      <c r="AI20" s="121">
        <f t="shared" ref="AI20:AI29" si="52">(500-X20)/100 * (AK$18*AL$18)+AK$18</f>
        <v>-0.08</v>
      </c>
      <c r="AJ20" s="117" t="b">
        <f t="shared" si="45"/>
        <v>1</v>
      </c>
      <c r="AK20" s="117">
        <f t="shared" si="46"/>
        <v>0</v>
      </c>
      <c r="AL20" s="117">
        <f t="shared" si="47"/>
        <v>0.92</v>
      </c>
      <c r="AM20">
        <f t="shared" si="48"/>
        <v>-0.08</v>
      </c>
      <c r="AQ20" s="121"/>
      <c r="AR20" s="121"/>
      <c r="AS20" s="121"/>
      <c r="AT20" s="121"/>
      <c r="AU20" s="121"/>
      <c r="AW20" s="121"/>
    </row>
    <row r="21" spans="2:49" x14ac:dyDescent="0.3">
      <c r="B21" s="122">
        <v>200</v>
      </c>
      <c r="C21" s="137" t="str">
        <f t="shared" si="12"/>
        <v/>
      </c>
      <c r="D21" s="118" t="s">
        <v>133</v>
      </c>
      <c r="E21" s="119" t="str">
        <f t="shared" si="13"/>
        <v>16</v>
      </c>
      <c r="F21" s="119" t="str">
        <f t="shared" si="14"/>
        <v>66</v>
      </c>
      <c r="G21" s="119" t="str">
        <f t="shared" si="15"/>
        <v>A5</v>
      </c>
      <c r="I21" s="36">
        <f t="shared" si="39"/>
        <v>22</v>
      </c>
      <c r="J21" s="36">
        <f t="shared" si="40"/>
        <v>102</v>
      </c>
      <c r="K21" s="36">
        <f t="shared" si="41"/>
        <v>165</v>
      </c>
      <c r="L21" s="62">
        <f>L20+(N$18*O$18)</f>
        <v>-0.16</v>
      </c>
      <c r="M21" s="62" t="b">
        <f t="shared" si="42"/>
        <v>1</v>
      </c>
      <c r="N21" s="62">
        <f t="shared" si="43"/>
        <v>0</v>
      </c>
      <c r="O21" s="62">
        <f t="shared" si="44"/>
        <v>0.84</v>
      </c>
      <c r="V21">
        <v>350</v>
      </c>
      <c r="W21" s="120">
        <v>17</v>
      </c>
      <c r="X21" s="122">
        <v>350</v>
      </c>
      <c r="Y21" s="145" t="str">
        <f t="shared" ref="Y21:Y29" si="53">SetIt(Y21, AA21, AB21, AC21, "#" &amp; _xlfn.CONCAT(AA21,AB21,AC21))</f>
        <v/>
      </c>
      <c r="Z21" s="118" t="s">
        <v>144</v>
      </c>
      <c r="AA21" s="119" t="str">
        <f t="shared" ref="AA21:AC27" si="54">IF(AE21&lt;16,"0","")&amp;DEC2HEX(AE21)</f>
        <v>03</v>
      </c>
      <c r="AB21" s="119" t="str">
        <f t="shared" si="54"/>
        <v>83</v>
      </c>
      <c r="AC21" s="119" t="str">
        <f t="shared" si="54"/>
        <v>BC</v>
      </c>
      <c r="AE21" s="36">
        <f t="shared" si="49"/>
        <v>3</v>
      </c>
      <c r="AF21" s="36">
        <f t="shared" si="50"/>
        <v>131</v>
      </c>
      <c r="AG21" s="36">
        <f t="shared" si="51"/>
        <v>188</v>
      </c>
      <c r="AI21" s="121">
        <f t="shared" si="52"/>
        <v>-9.5000000000000001E-2</v>
      </c>
      <c r="AJ21" s="121" t="b">
        <f t="shared" si="45"/>
        <v>1</v>
      </c>
      <c r="AK21" s="121">
        <f t="shared" si="46"/>
        <v>0</v>
      </c>
      <c r="AL21" s="121">
        <f t="shared" si="47"/>
        <v>0.90500000000000003</v>
      </c>
      <c r="AM21">
        <f t="shared" si="48"/>
        <v>-9.5000000000000001E-2</v>
      </c>
      <c r="AQ21" s="121"/>
      <c r="AR21" s="121"/>
      <c r="AS21" s="121"/>
      <c r="AT21" s="121"/>
      <c r="AU21" s="121"/>
      <c r="AW21" s="121"/>
    </row>
    <row r="22" spans="2:49" x14ac:dyDescent="0.3">
      <c r="B22" s="122">
        <v>100</v>
      </c>
      <c r="C22" s="138" t="str">
        <f t="shared" si="12"/>
        <v/>
      </c>
      <c r="D22" s="118" t="s">
        <v>134</v>
      </c>
      <c r="E22" s="119" t="str">
        <f t="shared" si="13"/>
        <v>12</v>
      </c>
      <c r="F22" s="119" t="str">
        <f t="shared" si="14"/>
        <v>52</v>
      </c>
      <c r="G22" s="119" t="str">
        <f t="shared" si="15"/>
        <v>84</v>
      </c>
      <c r="I22" s="36">
        <f t="shared" si="39"/>
        <v>18</v>
      </c>
      <c r="J22" s="36">
        <f t="shared" si="40"/>
        <v>82</v>
      </c>
      <c r="K22" s="36">
        <f t="shared" si="41"/>
        <v>132</v>
      </c>
      <c r="L22" s="62">
        <f>L21+(N$18*O$18)</f>
        <v>-0.2</v>
      </c>
      <c r="M22" s="62" t="b">
        <f t="shared" si="42"/>
        <v>1</v>
      </c>
      <c r="N22" s="62">
        <f t="shared" si="43"/>
        <v>0</v>
      </c>
      <c r="O22" s="62">
        <f t="shared" si="44"/>
        <v>0.8</v>
      </c>
      <c r="V22">
        <v>300</v>
      </c>
      <c r="W22" s="120">
        <v>18</v>
      </c>
      <c r="X22" s="122">
        <v>300</v>
      </c>
      <c r="Y22" s="147" t="str">
        <f t="shared" si="53"/>
        <v/>
      </c>
      <c r="Z22" s="118" t="s">
        <v>146</v>
      </c>
      <c r="AA22" s="119" t="str">
        <f t="shared" si="54"/>
        <v>03</v>
      </c>
      <c r="AB22" s="119" t="str">
        <f t="shared" si="54"/>
        <v>75</v>
      </c>
      <c r="AC22" s="119" t="str">
        <f t="shared" si="54"/>
        <v>A7</v>
      </c>
      <c r="AE22" s="36">
        <f t="shared" si="49"/>
        <v>3</v>
      </c>
      <c r="AF22" s="36">
        <f t="shared" si="50"/>
        <v>117</v>
      </c>
      <c r="AG22" s="36">
        <f t="shared" si="51"/>
        <v>167</v>
      </c>
      <c r="AI22" s="121">
        <f t="shared" si="52"/>
        <v>-0.11</v>
      </c>
      <c r="AJ22" s="117" t="b">
        <f t="shared" si="45"/>
        <v>1</v>
      </c>
      <c r="AK22" s="117">
        <f t="shared" si="46"/>
        <v>0</v>
      </c>
      <c r="AL22" s="117">
        <f t="shared" si="47"/>
        <v>0.89</v>
      </c>
      <c r="AM22">
        <f t="shared" si="48"/>
        <v>-0.11</v>
      </c>
      <c r="AQ22" s="121"/>
      <c r="AR22" s="121"/>
      <c r="AS22" s="121"/>
      <c r="AT22" s="121"/>
      <c r="AU22" s="121"/>
      <c r="AW22" s="121"/>
    </row>
    <row r="23" spans="2:49" x14ac:dyDescent="0.3">
      <c r="B23" s="122">
        <v>50</v>
      </c>
      <c r="C23" s="140" t="str">
        <f t="shared" si="12"/>
        <v/>
      </c>
      <c r="D23" s="118" t="s">
        <v>136</v>
      </c>
      <c r="E23" s="119" t="str">
        <f t="shared" si="13"/>
        <v>0E</v>
      </c>
      <c r="F23" s="119" t="str">
        <f t="shared" si="14"/>
        <v>3E</v>
      </c>
      <c r="G23" s="119" t="str">
        <f t="shared" si="15"/>
        <v>64</v>
      </c>
      <c r="I23" s="36">
        <f t="shared" si="39"/>
        <v>14</v>
      </c>
      <c r="J23" s="36">
        <f t="shared" si="40"/>
        <v>62</v>
      </c>
      <c r="K23" s="36">
        <f t="shared" si="41"/>
        <v>100</v>
      </c>
      <c r="L23" s="62">
        <f>L22+(N$18*O$18)</f>
        <v>-0.24000000000000002</v>
      </c>
      <c r="M23" s="62" t="b">
        <f t="shared" si="42"/>
        <v>1</v>
      </c>
      <c r="N23" s="62">
        <f t="shared" si="43"/>
        <v>0</v>
      </c>
      <c r="O23" s="62">
        <f t="shared" si="44"/>
        <v>0.76</v>
      </c>
      <c r="V23">
        <v>250</v>
      </c>
      <c r="W23" s="120">
        <v>19</v>
      </c>
      <c r="X23" s="122">
        <v>250</v>
      </c>
      <c r="Y23" s="151" t="str">
        <f t="shared" si="53"/>
        <v/>
      </c>
      <c r="Z23" s="118" t="s">
        <v>150</v>
      </c>
      <c r="AA23" s="119" t="str">
        <f t="shared" si="54"/>
        <v>03</v>
      </c>
      <c r="AB23" s="119" t="str">
        <f t="shared" si="54"/>
        <v>66</v>
      </c>
      <c r="AC23" s="119" t="str">
        <f t="shared" si="54"/>
        <v>92</v>
      </c>
      <c r="AE23" s="36">
        <f t="shared" si="49"/>
        <v>3</v>
      </c>
      <c r="AF23" s="36">
        <f t="shared" si="50"/>
        <v>102</v>
      </c>
      <c r="AG23" s="36">
        <f t="shared" si="51"/>
        <v>146</v>
      </c>
      <c r="AI23" s="121">
        <f t="shared" si="52"/>
        <v>-0.125</v>
      </c>
      <c r="AJ23" s="117" t="b">
        <f t="shared" si="45"/>
        <v>1</v>
      </c>
      <c r="AK23" s="117">
        <f t="shared" si="46"/>
        <v>0</v>
      </c>
      <c r="AL23" s="117">
        <f t="shared" si="47"/>
        <v>0.875</v>
      </c>
      <c r="AM23">
        <f t="shared" si="48"/>
        <v>-0.125</v>
      </c>
      <c r="AQ23" s="121"/>
      <c r="AR23" s="121"/>
      <c r="AS23" s="121"/>
      <c r="AT23" s="121"/>
      <c r="AU23" s="121"/>
      <c r="AW23" s="121"/>
    </row>
    <row r="24" spans="2:49" x14ac:dyDescent="0.3">
      <c r="B24" s="122">
        <v>10</v>
      </c>
      <c r="C24" s="139" t="str">
        <f t="shared" si="12"/>
        <v/>
      </c>
      <c r="D24" s="118" t="s">
        <v>135</v>
      </c>
      <c r="E24" s="119" t="str">
        <f t="shared" si="13"/>
        <v>0A</v>
      </c>
      <c r="F24" s="119" t="str">
        <f t="shared" si="14"/>
        <v>2D</v>
      </c>
      <c r="G24" s="119" t="str">
        <f t="shared" si="15"/>
        <v>48</v>
      </c>
      <c r="I24" s="36">
        <f t="shared" si="39"/>
        <v>10</v>
      </c>
      <c r="J24" s="36">
        <f t="shared" si="40"/>
        <v>45</v>
      </c>
      <c r="K24" s="36">
        <f t="shared" si="41"/>
        <v>72</v>
      </c>
      <c r="L24" s="62">
        <f>L23+(N$18*O$18)</f>
        <v>-0.28000000000000003</v>
      </c>
      <c r="M24" s="62" t="b">
        <f t="shared" si="42"/>
        <v>1</v>
      </c>
      <c r="N24" s="62">
        <f t="shared" si="43"/>
        <v>0</v>
      </c>
      <c r="O24" s="62">
        <f t="shared" si="44"/>
        <v>0.72</v>
      </c>
      <c r="V24">
        <v>220</v>
      </c>
      <c r="W24" s="120">
        <v>20</v>
      </c>
      <c r="X24" s="122">
        <v>220</v>
      </c>
      <c r="Y24" s="148" t="str">
        <f t="shared" si="53"/>
        <v/>
      </c>
      <c r="Z24" s="118" t="s">
        <v>147</v>
      </c>
      <c r="AA24" s="119" t="str">
        <f t="shared" si="54"/>
        <v>03</v>
      </c>
      <c r="AB24" s="119" t="str">
        <f t="shared" si="54"/>
        <v>58</v>
      </c>
      <c r="AC24" s="119" t="str">
        <f t="shared" si="54"/>
        <v>7E</v>
      </c>
      <c r="AE24" s="36">
        <f t="shared" si="49"/>
        <v>3</v>
      </c>
      <c r="AF24" s="36">
        <f t="shared" si="50"/>
        <v>88</v>
      </c>
      <c r="AG24" s="36">
        <f t="shared" si="51"/>
        <v>126</v>
      </c>
      <c r="AI24" s="121">
        <f t="shared" si="52"/>
        <v>-0.13400000000000001</v>
      </c>
      <c r="AJ24" s="121" t="b">
        <f t="shared" si="45"/>
        <v>1</v>
      </c>
      <c r="AK24" s="121">
        <f t="shared" si="46"/>
        <v>0</v>
      </c>
      <c r="AL24" s="121">
        <f t="shared" si="47"/>
        <v>0.86599999999999999</v>
      </c>
      <c r="AM24">
        <f t="shared" si="48"/>
        <v>-0.13400000000000001</v>
      </c>
      <c r="AQ24" s="121"/>
      <c r="AR24" s="121"/>
      <c r="AS24" s="121"/>
      <c r="AT24" s="121"/>
      <c r="AU24" s="121"/>
      <c r="AW24" s="121"/>
    </row>
    <row r="25" spans="2:49" x14ac:dyDescent="0.3">
      <c r="V25">
        <v>200</v>
      </c>
      <c r="W25" s="120">
        <v>21</v>
      </c>
      <c r="X25" s="122">
        <v>200</v>
      </c>
      <c r="Y25" s="154" t="str">
        <f t="shared" si="53"/>
        <v/>
      </c>
      <c r="Z25" s="118" t="s">
        <v>153</v>
      </c>
      <c r="AA25" s="119" t="str">
        <f t="shared" si="54"/>
        <v>03</v>
      </c>
      <c r="AB25" s="119" t="str">
        <f t="shared" si="54"/>
        <v>4C</v>
      </c>
      <c r="AC25" s="119" t="str">
        <f t="shared" si="54"/>
        <v>6C</v>
      </c>
      <c r="AE25" s="36">
        <f t="shared" si="49"/>
        <v>3</v>
      </c>
      <c r="AF25" s="36">
        <f t="shared" si="50"/>
        <v>76</v>
      </c>
      <c r="AG25" s="36">
        <f t="shared" si="51"/>
        <v>108</v>
      </c>
      <c r="AI25" s="121">
        <f t="shared" si="52"/>
        <v>-0.14000000000000001</v>
      </c>
      <c r="AJ25" s="117" t="b">
        <f t="shared" si="45"/>
        <v>1</v>
      </c>
      <c r="AK25" s="117">
        <f t="shared" si="46"/>
        <v>0</v>
      </c>
      <c r="AL25" s="117">
        <f t="shared" si="47"/>
        <v>0.86</v>
      </c>
      <c r="AM25">
        <f t="shared" si="48"/>
        <v>-0.14000000000000001</v>
      </c>
      <c r="AQ25" s="121"/>
      <c r="AR25" s="121"/>
      <c r="AS25" s="121"/>
      <c r="AT25" s="121"/>
      <c r="AU25" s="121"/>
      <c r="AW25" s="121"/>
    </row>
    <row r="26" spans="2:49" x14ac:dyDescent="0.3">
      <c r="V26">
        <v>150</v>
      </c>
      <c r="W26" s="120">
        <v>22</v>
      </c>
      <c r="X26" s="122">
        <v>150</v>
      </c>
      <c r="Y26" s="152" t="str">
        <f t="shared" si="53"/>
        <v/>
      </c>
      <c r="Z26" s="118" t="s">
        <v>151</v>
      </c>
      <c r="AA26" s="119" t="str">
        <f t="shared" si="54"/>
        <v>03</v>
      </c>
      <c r="AB26" s="119" t="str">
        <f t="shared" si="54"/>
        <v>40</v>
      </c>
      <c r="AC26" s="119" t="str">
        <f t="shared" si="54"/>
        <v>5B</v>
      </c>
      <c r="AE26" s="36">
        <f t="shared" si="49"/>
        <v>3</v>
      </c>
      <c r="AF26" s="36">
        <f t="shared" si="50"/>
        <v>64</v>
      </c>
      <c r="AG26" s="36">
        <f t="shared" si="51"/>
        <v>91</v>
      </c>
      <c r="AI26" s="121">
        <f t="shared" si="52"/>
        <v>-0.155</v>
      </c>
      <c r="AJ26" s="121" t="b">
        <f t="shared" si="45"/>
        <v>1</v>
      </c>
      <c r="AK26" s="121">
        <f t="shared" si="46"/>
        <v>0</v>
      </c>
      <c r="AL26" s="121">
        <f t="shared" si="47"/>
        <v>0.84499999999999997</v>
      </c>
      <c r="AM26">
        <f t="shared" si="48"/>
        <v>-0.155</v>
      </c>
      <c r="AQ26" s="121"/>
      <c r="AR26" s="121"/>
      <c r="AS26" s="121"/>
      <c r="AT26" s="121"/>
      <c r="AU26" s="121"/>
      <c r="AW26" s="121"/>
    </row>
    <row r="27" spans="2:49" x14ac:dyDescent="0.3">
      <c r="V27">
        <v>100</v>
      </c>
      <c r="W27" s="120">
        <v>23</v>
      </c>
      <c r="X27" s="122">
        <v>100</v>
      </c>
      <c r="Y27" s="156" t="str">
        <f t="shared" si="53"/>
        <v/>
      </c>
      <c r="Z27" s="118" t="s">
        <v>155</v>
      </c>
      <c r="AA27" s="119" t="str">
        <f t="shared" si="54"/>
        <v>02</v>
      </c>
      <c r="AB27" s="119" t="str">
        <f t="shared" si="54"/>
        <v>35</v>
      </c>
      <c r="AC27" s="119" t="str">
        <f t="shared" si="54"/>
        <v>4C</v>
      </c>
      <c r="AE27" s="36">
        <f t="shared" si="49"/>
        <v>2</v>
      </c>
      <c r="AF27" s="36">
        <f t="shared" si="50"/>
        <v>53</v>
      </c>
      <c r="AG27" s="36">
        <f t="shared" si="51"/>
        <v>76</v>
      </c>
      <c r="AI27" s="121">
        <f t="shared" si="52"/>
        <v>-0.16999999999999998</v>
      </c>
      <c r="AJ27" s="117" t="b">
        <f t="shared" si="45"/>
        <v>1</v>
      </c>
      <c r="AK27" s="117">
        <f t="shared" si="46"/>
        <v>0</v>
      </c>
      <c r="AL27" s="117">
        <f t="shared" si="47"/>
        <v>0.83000000000000007</v>
      </c>
      <c r="AM27">
        <f t="shared" si="48"/>
        <v>-0.16999999999999998</v>
      </c>
      <c r="AQ27" s="121"/>
      <c r="AR27" s="121"/>
      <c r="AS27" s="121"/>
      <c r="AT27" s="121"/>
      <c r="AU27" s="121"/>
      <c r="AW27" s="121"/>
    </row>
    <row r="28" spans="2:49" x14ac:dyDescent="0.3">
      <c r="V28" t="s">
        <v>138</v>
      </c>
      <c r="W28" s="120">
        <v>24</v>
      </c>
      <c r="X28" s="122">
        <v>50</v>
      </c>
      <c r="Y28" s="158" t="str">
        <f t="shared" si="53"/>
        <v/>
      </c>
      <c r="Z28" s="118" t="s">
        <v>157</v>
      </c>
      <c r="AA28" s="119" t="str">
        <f t="shared" ref="AA28:AC29" si="55">IF(AE28&lt;16,"0","")&amp;DEC2HEX(AE28)</f>
        <v>02</v>
      </c>
      <c r="AB28" s="119" t="str">
        <f t="shared" si="55"/>
        <v>2B</v>
      </c>
      <c r="AC28" s="119" t="str">
        <f t="shared" si="55"/>
        <v>3E</v>
      </c>
      <c r="AE28" s="36">
        <f t="shared" si="49"/>
        <v>2</v>
      </c>
      <c r="AF28" s="36">
        <f t="shared" si="50"/>
        <v>43</v>
      </c>
      <c r="AG28" s="36">
        <f t="shared" si="51"/>
        <v>62</v>
      </c>
      <c r="AI28" s="121">
        <f t="shared" si="52"/>
        <v>-0.185</v>
      </c>
      <c r="AJ28" s="117" t="b">
        <f t="shared" si="45"/>
        <v>1</v>
      </c>
      <c r="AK28" s="117">
        <f t="shared" si="46"/>
        <v>0</v>
      </c>
      <c r="AL28" s="117">
        <f t="shared" si="47"/>
        <v>0.81499999999999995</v>
      </c>
      <c r="AM28">
        <f t="shared" si="48"/>
        <v>-0.185</v>
      </c>
      <c r="AQ28" s="121"/>
      <c r="AR28" s="121"/>
      <c r="AS28" s="121"/>
      <c r="AT28" s="121"/>
      <c r="AU28" s="121"/>
      <c r="AW28" s="121"/>
    </row>
    <row r="29" spans="2:49" x14ac:dyDescent="0.3">
      <c r="V29" t="s">
        <v>139</v>
      </c>
      <c r="W29" s="120">
        <v>25</v>
      </c>
      <c r="X29" s="122">
        <v>10</v>
      </c>
      <c r="Y29" s="159" t="str">
        <f t="shared" si="53"/>
        <v/>
      </c>
      <c r="Z29" s="118" t="s">
        <v>158</v>
      </c>
      <c r="AA29" s="119" t="str">
        <f t="shared" si="55"/>
        <v>02</v>
      </c>
      <c r="AB29" s="119" t="str">
        <f t="shared" si="55"/>
        <v>23</v>
      </c>
      <c r="AC29" s="119" t="str">
        <f t="shared" si="55"/>
        <v>32</v>
      </c>
      <c r="AE29" s="36">
        <f t="shared" si="49"/>
        <v>2</v>
      </c>
      <c r="AF29" s="36">
        <f t="shared" si="50"/>
        <v>35</v>
      </c>
      <c r="AG29" s="36">
        <f t="shared" si="51"/>
        <v>50</v>
      </c>
      <c r="AI29" s="121">
        <f t="shared" si="52"/>
        <v>-0.19700000000000001</v>
      </c>
      <c r="AJ29" s="117" t="b">
        <f t="shared" si="45"/>
        <v>1</v>
      </c>
      <c r="AK29" s="117">
        <f t="shared" si="46"/>
        <v>0</v>
      </c>
      <c r="AL29" s="117">
        <f t="shared" si="47"/>
        <v>0.80299999999999994</v>
      </c>
      <c r="AM29">
        <f t="shared" si="48"/>
        <v>-0.19700000000000001</v>
      </c>
      <c r="AQ29" s="121"/>
      <c r="AR29" s="121"/>
      <c r="AS29" s="121"/>
      <c r="AT29" s="121"/>
      <c r="AU29" s="121"/>
      <c r="AW29" s="121"/>
    </row>
    <row r="34" spans="1:23" x14ac:dyDescent="0.3">
      <c r="A34" s="33" t="s">
        <v>38</v>
      </c>
      <c r="K34" s="34"/>
    </row>
    <row r="35" spans="1:23" x14ac:dyDescent="0.3">
      <c r="A35" s="33" t="s">
        <v>39</v>
      </c>
      <c r="K35" s="34"/>
    </row>
    <row r="37" spans="1:23" x14ac:dyDescent="0.3">
      <c r="A37" t="s">
        <v>92</v>
      </c>
      <c r="B37" s="61"/>
      <c r="C37" s="35" t="s">
        <v>64</v>
      </c>
      <c r="D37" s="62">
        <v>0.45</v>
      </c>
      <c r="E37" s="127" t="b">
        <f>(D37&lt;0)</f>
        <v>0</v>
      </c>
      <c r="F37" s="127"/>
      <c r="G37" s="127">
        <f>IF(E37,0,255*D37)</f>
        <v>114.75</v>
      </c>
      <c r="H37" s="127"/>
      <c r="I37" s="127">
        <f>IF(E37,1+D37,1-D37)</f>
        <v>0.55000000000000004</v>
      </c>
      <c r="J37" s="127"/>
      <c r="M37" s="61"/>
      <c r="N37" s="35" t="s">
        <v>64</v>
      </c>
      <c r="O37" s="62">
        <v>0.45</v>
      </c>
      <c r="P37" s="127" t="b">
        <f>(O37&lt;0)</f>
        <v>0</v>
      </c>
      <c r="Q37" s="127"/>
      <c r="R37" s="127">
        <f>IF(P37,0,255*O37)</f>
        <v>114.75</v>
      </c>
      <c r="S37" s="127"/>
      <c r="T37" s="127">
        <f>IF(P37,1+O37,1-O37)</f>
        <v>0.55000000000000004</v>
      </c>
      <c r="U37" s="127"/>
    </row>
    <row r="38" spans="1:23" x14ac:dyDescent="0.3">
      <c r="A38" t="s">
        <v>105</v>
      </c>
      <c r="B38" s="63"/>
      <c r="C38" s="35" t="s">
        <v>65</v>
      </c>
      <c r="D38" s="62">
        <v>-0.14000000000000001</v>
      </c>
      <c r="E38" s="127" t="b">
        <f>(D38&lt;0)</f>
        <v>1</v>
      </c>
      <c r="F38" s="127"/>
      <c r="G38" s="127">
        <f>IF(E38,0,255*D38)</f>
        <v>0</v>
      </c>
      <c r="H38" s="127"/>
      <c r="I38" s="127">
        <f>IF(E38,1+D38,1-D38)</f>
        <v>0.86</v>
      </c>
      <c r="J38" s="127"/>
      <c r="M38" s="63"/>
      <c r="N38" s="35" t="s">
        <v>65</v>
      </c>
      <c r="O38" s="62">
        <v>-0.14000000000000001</v>
      </c>
      <c r="P38" s="127" t="b">
        <f>(O38&lt;0)</f>
        <v>1</v>
      </c>
      <c r="Q38" s="127"/>
      <c r="R38" s="127">
        <f>IF(P38,0,255*O38)</f>
        <v>0</v>
      </c>
      <c r="S38" s="127"/>
      <c r="T38" s="127">
        <f>IF(P38,1+O38,1-O38)</f>
        <v>0.86</v>
      </c>
      <c r="U38" s="127"/>
    </row>
    <row r="39" spans="1:23" x14ac:dyDescent="0.3">
      <c r="B39" s="14">
        <v>950</v>
      </c>
      <c r="C39" s="46" t="str">
        <f t="shared" ref="C39:C51" si="56">SetIt(C39, E39, G39, I39, "#" &amp; _xlfn.CONCAT(E39,G39,I39))</f>
        <v/>
      </c>
      <c r="D39" t="s">
        <v>50</v>
      </c>
      <c r="E39" s="48" t="str">
        <f t="shared" ref="E39:E46" si="57">IF(F39&lt;16,"0","")&amp;DEC2HEX(F39)</f>
        <v>FF</v>
      </c>
      <c r="F39" s="36">
        <f>ROUND(F40*I37+G37,0)</f>
        <v>255</v>
      </c>
      <c r="G39" s="48" t="str">
        <f t="shared" ref="G39:G46" si="58">IF(H39&lt;16,"0","")&amp;DEC2HEX(H39)</f>
        <v>F8</v>
      </c>
      <c r="H39" s="36">
        <f>ROUND(H40*I37+G37,0)</f>
        <v>248</v>
      </c>
      <c r="I39" s="48" t="str">
        <f t="shared" ref="I39:I46" si="59">IF(J39&lt;16,"0","")&amp;DEC2HEX(J39)</f>
        <v>F8</v>
      </c>
      <c r="J39" s="36">
        <f>ROUND(J40*I37+G37,0)</f>
        <v>248</v>
      </c>
      <c r="K39" s="36"/>
      <c r="M39" s="14">
        <v>950</v>
      </c>
      <c r="N39" s="59" t="str">
        <f t="shared" ref="N39:N51" si="60">SetIt(N39, P39, R39, T39, "#" &amp; _xlfn.CONCAT(P39,R39,T39))</f>
        <v/>
      </c>
      <c r="O39" t="s">
        <v>62</v>
      </c>
      <c r="P39" s="48" t="str">
        <f t="shared" ref="P39:P51" si="61">IF(Q39&lt;16,"0","")&amp;DEC2HEX(Q39)</f>
        <v>F8</v>
      </c>
      <c r="Q39" s="36">
        <f>ROUND(Q40*T37+R37,0)</f>
        <v>248</v>
      </c>
      <c r="R39" s="48" t="str">
        <f t="shared" ref="R39:R51" si="62">IF(S39&lt;16,"0","")&amp;DEC2HEX(S39)</f>
        <v>F8</v>
      </c>
      <c r="S39" s="36">
        <f>ROUND(S40*T37+R37,0)</f>
        <v>248</v>
      </c>
      <c r="T39" s="48" t="str">
        <f t="shared" ref="T39:T51" si="63">IF(U39&lt;16,"0","")&amp;DEC2HEX(U39)</f>
        <v>FF</v>
      </c>
      <c r="U39" s="36">
        <f>ROUND(U40*T37+R37,0)</f>
        <v>255</v>
      </c>
    </row>
    <row r="40" spans="1:23" x14ac:dyDescent="0.3">
      <c r="B40" s="14">
        <v>900</v>
      </c>
      <c r="C40" s="45" t="str">
        <f t="shared" si="56"/>
        <v/>
      </c>
      <c r="D40" t="s">
        <v>49</v>
      </c>
      <c r="E40" s="48" t="str">
        <f t="shared" si="57"/>
        <v>FF</v>
      </c>
      <c r="F40" s="36">
        <f>ROUND(F41*I37+G37,0)</f>
        <v>255</v>
      </c>
      <c r="G40" s="48" t="str">
        <f t="shared" si="58"/>
        <v>F2</v>
      </c>
      <c r="H40" s="36">
        <f>ROUND(H41*I37+G37,0)</f>
        <v>242</v>
      </c>
      <c r="I40" s="48" t="str">
        <f t="shared" si="59"/>
        <v>F2</v>
      </c>
      <c r="J40" s="36">
        <f>ROUND(J41*I37+G37,0)</f>
        <v>242</v>
      </c>
      <c r="K40" s="36"/>
      <c r="M40" s="14">
        <v>900</v>
      </c>
      <c r="N40" s="60" t="str">
        <f t="shared" si="60"/>
        <v/>
      </c>
      <c r="O40" t="s">
        <v>63</v>
      </c>
      <c r="P40" s="48" t="str">
        <f t="shared" si="61"/>
        <v>F2</v>
      </c>
      <c r="Q40" s="36">
        <f>ROUND(Q41*T37+R37,0)</f>
        <v>242</v>
      </c>
      <c r="R40" s="48" t="str">
        <f t="shared" si="62"/>
        <v>F2</v>
      </c>
      <c r="S40" s="36">
        <f>ROUND(S41*T37+R37,0)</f>
        <v>242</v>
      </c>
      <c r="T40" s="48" t="str">
        <f t="shared" si="63"/>
        <v>FF</v>
      </c>
      <c r="U40" s="36">
        <f>ROUND(U41*T37+R37,0)</f>
        <v>255</v>
      </c>
    </row>
    <row r="41" spans="1:23" x14ac:dyDescent="0.3">
      <c r="B41" s="14">
        <v>800</v>
      </c>
      <c r="C41" s="44" t="str">
        <f t="shared" si="56"/>
        <v/>
      </c>
      <c r="D41" t="s">
        <v>48</v>
      </c>
      <c r="E41" s="48" t="str">
        <f t="shared" si="57"/>
        <v>FF</v>
      </c>
      <c r="F41" s="36">
        <f>ROUND(F42*I37+G37,0)</f>
        <v>255</v>
      </c>
      <c r="G41" s="48" t="str">
        <f t="shared" si="58"/>
        <v>E8</v>
      </c>
      <c r="H41" s="36">
        <f>ROUND(H42*I37+G37,0)</f>
        <v>232</v>
      </c>
      <c r="I41" s="48" t="str">
        <f t="shared" si="59"/>
        <v>E8</v>
      </c>
      <c r="J41" s="36">
        <f>ROUND(J42*I37+G37,0)</f>
        <v>232</v>
      </c>
      <c r="K41" s="36"/>
      <c r="M41" s="14">
        <v>800</v>
      </c>
      <c r="N41" s="57" t="str">
        <f t="shared" si="60"/>
        <v/>
      </c>
      <c r="O41" t="s">
        <v>60</v>
      </c>
      <c r="P41" s="48" t="str">
        <f t="shared" si="61"/>
        <v>E8</v>
      </c>
      <c r="Q41" s="36">
        <f>ROUND(Q42*T37+R37,0)</f>
        <v>232</v>
      </c>
      <c r="R41" s="48" t="str">
        <f t="shared" si="62"/>
        <v>E8</v>
      </c>
      <c r="S41" s="36">
        <f>ROUND(S42*T37+R37,0)</f>
        <v>232</v>
      </c>
      <c r="T41" s="48" t="str">
        <f t="shared" si="63"/>
        <v>FF</v>
      </c>
      <c r="U41" s="36">
        <f>ROUND(U42*T37+R37,0)</f>
        <v>255</v>
      </c>
    </row>
    <row r="42" spans="1:23" x14ac:dyDescent="0.3">
      <c r="B42" s="14">
        <v>700</v>
      </c>
      <c r="C42" s="43" t="str">
        <f t="shared" si="56"/>
        <v/>
      </c>
      <c r="D42" t="s">
        <v>47</v>
      </c>
      <c r="E42" s="48" t="str">
        <f t="shared" si="57"/>
        <v>FF</v>
      </c>
      <c r="F42" s="36">
        <f>ROUND(F43*I37+G37,0)</f>
        <v>255</v>
      </c>
      <c r="G42" s="48" t="str">
        <f t="shared" si="58"/>
        <v>D5</v>
      </c>
      <c r="H42" s="36">
        <f>ROUND(H43*I37+G37,0)</f>
        <v>213</v>
      </c>
      <c r="I42" s="48" t="str">
        <f t="shared" si="59"/>
        <v>D5</v>
      </c>
      <c r="J42" s="36">
        <f>ROUND(J43*I37+G37,0)</f>
        <v>213</v>
      </c>
      <c r="K42" s="36"/>
      <c r="M42" s="14">
        <v>700</v>
      </c>
      <c r="N42" s="54" t="str">
        <f t="shared" si="60"/>
        <v/>
      </c>
      <c r="O42" t="s">
        <v>57</v>
      </c>
      <c r="P42" s="48" t="str">
        <f t="shared" si="61"/>
        <v>D5</v>
      </c>
      <c r="Q42" s="36">
        <f>ROUND(Q43*T37+R37,0)</f>
        <v>213</v>
      </c>
      <c r="R42" s="48" t="str">
        <f t="shared" si="62"/>
        <v>D5</v>
      </c>
      <c r="S42" s="36">
        <f>ROUND(S43*T37+R37,0)</f>
        <v>213</v>
      </c>
      <c r="T42" s="48" t="str">
        <f t="shared" si="63"/>
        <v>FF</v>
      </c>
      <c r="U42" s="36">
        <f>ROUND(U43*T37+R37,0)</f>
        <v>255</v>
      </c>
    </row>
    <row r="43" spans="1:23" x14ac:dyDescent="0.3">
      <c r="B43" s="14">
        <v>600</v>
      </c>
      <c r="C43" s="42" t="str">
        <f t="shared" si="56"/>
        <v/>
      </c>
      <c r="D43" t="s">
        <v>46</v>
      </c>
      <c r="E43" s="48" t="str">
        <f t="shared" si="57"/>
        <v>FF</v>
      </c>
      <c r="F43" s="36">
        <f>ROUND(F44*I37+G37,0)</f>
        <v>255</v>
      </c>
      <c r="G43" s="48" t="str">
        <f t="shared" si="58"/>
        <v>B2</v>
      </c>
      <c r="H43" s="36">
        <f>ROUND(H44*I37+G37,0)</f>
        <v>178</v>
      </c>
      <c r="I43" s="48" t="str">
        <f t="shared" si="59"/>
        <v>B2</v>
      </c>
      <c r="J43" s="36">
        <f>ROUND(J44*I37+G37,0)</f>
        <v>178</v>
      </c>
      <c r="K43" s="36"/>
      <c r="M43" s="14">
        <v>600</v>
      </c>
      <c r="N43" s="51" t="str">
        <f t="shared" si="60"/>
        <v/>
      </c>
      <c r="O43" t="s">
        <v>54</v>
      </c>
      <c r="P43" s="48" t="str">
        <f t="shared" si="61"/>
        <v>B2</v>
      </c>
      <c r="Q43" s="36">
        <f>ROUND(Q44*T37+R37,0)</f>
        <v>178</v>
      </c>
      <c r="R43" s="48" t="str">
        <f t="shared" si="62"/>
        <v>B2</v>
      </c>
      <c r="S43" s="36">
        <f>ROUND(S44*T37+R37,0)</f>
        <v>178</v>
      </c>
      <c r="T43" s="48" t="str">
        <f t="shared" si="63"/>
        <v>FF</v>
      </c>
      <c r="U43" s="36">
        <f>ROUND(U44*T37+R37,0)</f>
        <v>255</v>
      </c>
    </row>
    <row r="44" spans="1:23" ht="15" thickBot="1" x14ac:dyDescent="0.35">
      <c r="A44" t="s">
        <v>117</v>
      </c>
      <c r="B44" s="14">
        <v>500</v>
      </c>
      <c r="C44" s="41" t="str">
        <f t="shared" si="56"/>
        <v/>
      </c>
      <c r="D44" t="s">
        <v>45</v>
      </c>
      <c r="E44" s="48" t="str">
        <f t="shared" si="57"/>
        <v>FF</v>
      </c>
      <c r="F44" s="36">
        <f>ROUND(F45*I37+G37,0)</f>
        <v>255</v>
      </c>
      <c r="G44" s="48" t="str">
        <f t="shared" si="58"/>
        <v>73</v>
      </c>
      <c r="H44" s="36">
        <f>ROUND(H45*I37+G37,0)</f>
        <v>115</v>
      </c>
      <c r="I44" s="48" t="str">
        <f t="shared" si="59"/>
        <v>73</v>
      </c>
      <c r="J44" s="36">
        <f>ROUND(J45*I37+G37,0)</f>
        <v>115</v>
      </c>
      <c r="K44" s="36"/>
      <c r="M44" s="14">
        <v>500</v>
      </c>
      <c r="N44" s="49" t="str">
        <f t="shared" si="60"/>
        <v/>
      </c>
      <c r="O44" t="s">
        <v>52</v>
      </c>
      <c r="P44" s="48" t="str">
        <f t="shared" si="61"/>
        <v>73</v>
      </c>
      <c r="Q44" s="36">
        <f>ROUND(Q45*T37+R37,0)</f>
        <v>115</v>
      </c>
      <c r="R44" s="48" t="str">
        <f t="shared" si="62"/>
        <v>73</v>
      </c>
      <c r="S44" s="36">
        <f>ROUND(S45*T37+R37,0)</f>
        <v>115</v>
      </c>
      <c r="T44" s="48" t="str">
        <f t="shared" si="63"/>
        <v>FF</v>
      </c>
      <c r="U44" s="36">
        <f>ROUND(U45*T37+R37,0)</f>
        <v>255</v>
      </c>
      <c r="V44" s="36"/>
    </row>
    <row r="45" spans="1:23" ht="15.6" thickTop="1" thickBot="1" x14ac:dyDescent="0.35">
      <c r="A45" s="104" t="s">
        <v>40</v>
      </c>
      <c r="B45" s="102">
        <v>450</v>
      </c>
      <c r="C45" s="107" t="str">
        <f t="shared" si="56"/>
        <v/>
      </c>
      <c r="D45" s="104" t="s">
        <v>7</v>
      </c>
      <c r="E45" s="105" t="str">
        <f t="shared" si="57"/>
        <v>FF</v>
      </c>
      <c r="F45" s="106">
        <v>255</v>
      </c>
      <c r="G45" s="105" t="str">
        <f t="shared" si="58"/>
        <v>00</v>
      </c>
      <c r="H45" s="106">
        <v>0</v>
      </c>
      <c r="I45" s="105" t="str">
        <f t="shared" si="59"/>
        <v>00</v>
      </c>
      <c r="J45" s="106">
        <v>0</v>
      </c>
      <c r="K45" s="106"/>
      <c r="L45" s="104"/>
      <c r="M45" s="102">
        <v>450</v>
      </c>
      <c r="N45" s="103" t="str">
        <f t="shared" si="60"/>
        <v/>
      </c>
      <c r="O45" s="104" t="s">
        <v>20</v>
      </c>
      <c r="P45" s="105" t="str">
        <f t="shared" si="61"/>
        <v>00</v>
      </c>
      <c r="Q45" s="106">
        <v>0</v>
      </c>
      <c r="R45" s="105" t="str">
        <f t="shared" si="62"/>
        <v>00</v>
      </c>
      <c r="S45" s="106">
        <v>0</v>
      </c>
      <c r="T45" s="105" t="str">
        <f t="shared" si="63"/>
        <v>FF</v>
      </c>
      <c r="U45" s="106">
        <v>255</v>
      </c>
      <c r="V45" s="106"/>
      <c r="W45" s="104"/>
    </row>
    <row r="46" spans="1:23" ht="15" thickTop="1" x14ac:dyDescent="0.3">
      <c r="A46" t="s">
        <v>118</v>
      </c>
      <c r="B46" s="14">
        <v>400</v>
      </c>
      <c r="C46" s="37" t="str">
        <f t="shared" si="56"/>
        <v/>
      </c>
      <c r="D46" t="s">
        <v>41</v>
      </c>
      <c r="E46" s="48" t="str">
        <f t="shared" si="57"/>
        <v>DB</v>
      </c>
      <c r="F46" s="36">
        <f>ROUND(F45*I38+G38,0)</f>
        <v>219</v>
      </c>
      <c r="G46" s="48" t="str">
        <f t="shared" si="58"/>
        <v>00</v>
      </c>
      <c r="H46" s="36">
        <f>ROUND(H45*I38+G38,0)</f>
        <v>0</v>
      </c>
      <c r="I46" s="48" t="str">
        <f t="shared" si="59"/>
        <v>00</v>
      </c>
      <c r="J46" s="36">
        <f>ROUND(J45*I38+G38,0)</f>
        <v>0</v>
      </c>
      <c r="K46" s="36"/>
      <c r="M46" s="14">
        <v>400</v>
      </c>
      <c r="N46" s="50" t="str">
        <f t="shared" si="60"/>
        <v/>
      </c>
      <c r="O46" t="s">
        <v>53</v>
      </c>
      <c r="P46" s="48" t="str">
        <f t="shared" si="61"/>
        <v>00</v>
      </c>
      <c r="Q46" s="36">
        <f>ROUND(Q45*T38+R38,0)</f>
        <v>0</v>
      </c>
      <c r="R46" s="48" t="str">
        <f t="shared" si="62"/>
        <v>00</v>
      </c>
      <c r="S46" s="36">
        <f>ROUND(S45*T38+R38,0)</f>
        <v>0</v>
      </c>
      <c r="T46" s="48" t="str">
        <f t="shared" si="63"/>
        <v>DB</v>
      </c>
      <c r="U46" s="36">
        <f>ROUND(U45*T38+R38,0)</f>
        <v>219</v>
      </c>
      <c r="V46" s="36"/>
    </row>
    <row r="47" spans="1:23" x14ac:dyDescent="0.3">
      <c r="B47" s="14">
        <v>300</v>
      </c>
      <c r="C47" s="38" t="str">
        <f t="shared" si="56"/>
        <v/>
      </c>
      <c r="D47" t="s">
        <v>42</v>
      </c>
      <c r="E47" s="48" t="str">
        <f>IF(F47&lt;16,"0","")&amp;DEC2HEX(F47)</f>
        <v>BC</v>
      </c>
      <c r="F47" s="36">
        <f>ROUND(F46*I38+G38,0)</f>
        <v>188</v>
      </c>
      <c r="G47" s="48" t="str">
        <f>IF(H47&lt;16,"0","")&amp;DEC2HEX(H47)</f>
        <v>00</v>
      </c>
      <c r="H47" s="36">
        <f>ROUND(H46*I38+G38,0)</f>
        <v>0</v>
      </c>
      <c r="I47" s="48" t="str">
        <f>IF(J47&lt;16,"0","")&amp;DEC2HEX(J47)</f>
        <v>00</v>
      </c>
      <c r="J47" s="36">
        <f>ROUND(J46*I38+G38,0)</f>
        <v>0</v>
      </c>
      <c r="K47" s="36"/>
      <c r="M47" s="14">
        <v>300</v>
      </c>
      <c r="N47" s="52" t="str">
        <f t="shared" si="60"/>
        <v/>
      </c>
      <c r="O47" t="s">
        <v>55</v>
      </c>
      <c r="P47" s="48" t="str">
        <f t="shared" si="61"/>
        <v>00</v>
      </c>
      <c r="Q47" s="36">
        <f>ROUND(Q46*T38+R38,0)</f>
        <v>0</v>
      </c>
      <c r="R47" s="48" t="str">
        <f t="shared" si="62"/>
        <v>00</v>
      </c>
      <c r="S47" s="36">
        <f>ROUND(S46*T38+R38,0)</f>
        <v>0</v>
      </c>
      <c r="T47" s="48" t="str">
        <f t="shared" si="63"/>
        <v>BC</v>
      </c>
      <c r="U47" s="36">
        <f>ROUND(U46*T38+R38,0)</f>
        <v>188</v>
      </c>
    </row>
    <row r="48" spans="1:23" x14ac:dyDescent="0.3">
      <c r="B48" s="14">
        <v>200</v>
      </c>
      <c r="C48" s="39" t="str">
        <f t="shared" si="56"/>
        <v/>
      </c>
      <c r="D48" t="s">
        <v>43</v>
      </c>
      <c r="E48" s="48" t="str">
        <f>IF(F48&lt;16,"0","")&amp;DEC2HEX(F48)</f>
        <v>A2</v>
      </c>
      <c r="F48" s="36">
        <f>ROUND(F47*I38+G38,0)</f>
        <v>162</v>
      </c>
      <c r="G48" s="48" t="str">
        <f>IF(H48&lt;16,"0","")&amp;DEC2HEX(H48)</f>
        <v>00</v>
      </c>
      <c r="H48" s="36">
        <f>ROUND(H47*I38+G38,0)</f>
        <v>0</v>
      </c>
      <c r="I48" s="48" t="str">
        <f>IF(J48&lt;16,"0","")&amp;DEC2HEX(J48)</f>
        <v>00</v>
      </c>
      <c r="J48" s="36">
        <f>ROUND(J47*I38+G38,0)</f>
        <v>0</v>
      </c>
      <c r="K48" s="36"/>
      <c r="M48" s="14">
        <v>200</v>
      </c>
      <c r="N48" s="53" t="str">
        <f t="shared" si="60"/>
        <v/>
      </c>
      <c r="O48" t="s">
        <v>56</v>
      </c>
      <c r="P48" s="48" t="str">
        <f t="shared" si="61"/>
        <v>00</v>
      </c>
      <c r="Q48" s="36">
        <f>ROUND(Q47*T38+R38,0)</f>
        <v>0</v>
      </c>
      <c r="R48" s="48" t="str">
        <f t="shared" si="62"/>
        <v>00</v>
      </c>
      <c r="S48" s="36">
        <f>ROUND(S47*T38+R38,0)</f>
        <v>0</v>
      </c>
      <c r="T48" s="48" t="str">
        <f t="shared" si="63"/>
        <v>A2</v>
      </c>
      <c r="U48" s="36">
        <f>ROUND(U47*T38+R38,0)</f>
        <v>162</v>
      </c>
    </row>
    <row r="49" spans="1:39" x14ac:dyDescent="0.3">
      <c r="B49" s="14">
        <v>100</v>
      </c>
      <c r="C49" s="40" t="str">
        <f t="shared" si="56"/>
        <v/>
      </c>
      <c r="D49" t="s">
        <v>44</v>
      </c>
      <c r="E49" s="48" t="str">
        <f>IF(F49&lt;16,"0","")&amp;DEC2HEX(F49)</f>
        <v>8B</v>
      </c>
      <c r="F49" s="36">
        <f>ROUND(F48*I38+G38,0)</f>
        <v>139</v>
      </c>
      <c r="G49" s="48" t="str">
        <f>IF(H49&lt;16,"0","")&amp;DEC2HEX(H49)</f>
        <v>00</v>
      </c>
      <c r="H49" s="36">
        <f>ROUND(H48*I38+G38,0)</f>
        <v>0</v>
      </c>
      <c r="I49" s="48" t="str">
        <f>IF(J49&lt;16,"0","")&amp;DEC2HEX(J49)</f>
        <v>00</v>
      </c>
      <c r="J49" s="36">
        <f>ROUND(J48*I38+G38,0)</f>
        <v>0</v>
      </c>
      <c r="K49" s="36"/>
      <c r="M49" s="14">
        <v>100</v>
      </c>
      <c r="N49" s="55" t="str">
        <f t="shared" si="60"/>
        <v/>
      </c>
      <c r="O49" t="s">
        <v>58</v>
      </c>
      <c r="P49" s="48" t="str">
        <f t="shared" si="61"/>
        <v>00</v>
      </c>
      <c r="Q49" s="36">
        <f>ROUND(Q48*T38+R38,0)</f>
        <v>0</v>
      </c>
      <c r="R49" s="48" t="str">
        <f t="shared" si="62"/>
        <v>00</v>
      </c>
      <c r="S49" s="36">
        <f>ROUND(S48*T38+R38,0)</f>
        <v>0</v>
      </c>
      <c r="T49" s="48" t="str">
        <f t="shared" si="63"/>
        <v>8B</v>
      </c>
      <c r="U49" s="36">
        <f>ROUND(U48*T38+R38,0)</f>
        <v>139</v>
      </c>
    </row>
    <row r="50" spans="1:39" x14ac:dyDescent="0.3">
      <c r="B50" s="14">
        <v>50</v>
      </c>
      <c r="C50" s="15" t="str">
        <f t="shared" si="56"/>
        <v/>
      </c>
      <c r="D50" t="s">
        <v>19</v>
      </c>
      <c r="E50" s="48" t="str">
        <f>IF(F50&lt;16,"0","")&amp;DEC2HEX(F50)</f>
        <v>78</v>
      </c>
      <c r="F50" s="36">
        <f>ROUND(F49*I38+G38,0)</f>
        <v>120</v>
      </c>
      <c r="G50" s="48" t="str">
        <f>IF(H50&lt;16,"0","")&amp;DEC2HEX(H50)</f>
        <v>00</v>
      </c>
      <c r="H50" s="36">
        <f>ROUND(H49*I38+G38,0)</f>
        <v>0</v>
      </c>
      <c r="I50" s="48" t="str">
        <f>IF(J50&lt;16,"0","")&amp;DEC2HEX(J50)</f>
        <v>00</v>
      </c>
      <c r="J50" s="36">
        <f>ROUND(J49*I38+G38,0)</f>
        <v>0</v>
      </c>
      <c r="K50" s="36"/>
      <c r="M50" s="14">
        <v>50</v>
      </c>
      <c r="N50" s="58" t="str">
        <f t="shared" si="60"/>
        <v/>
      </c>
      <c r="O50" t="s">
        <v>61</v>
      </c>
      <c r="P50" s="48" t="str">
        <f t="shared" si="61"/>
        <v>00</v>
      </c>
      <c r="Q50" s="36">
        <f>ROUND(Q49*T38+R38,0)</f>
        <v>0</v>
      </c>
      <c r="R50" s="48" t="str">
        <f t="shared" si="62"/>
        <v>00</v>
      </c>
      <c r="S50" s="36">
        <f>ROUND(S49*T38+R38,0)</f>
        <v>0</v>
      </c>
      <c r="T50" s="48" t="str">
        <f t="shared" si="63"/>
        <v>78</v>
      </c>
      <c r="U50" s="36">
        <f>ROUND(U49*T38+R38,0)</f>
        <v>120</v>
      </c>
    </row>
    <row r="51" spans="1:39" x14ac:dyDescent="0.3">
      <c r="B51" s="14">
        <v>10</v>
      </c>
      <c r="C51" s="47" t="str">
        <f t="shared" si="56"/>
        <v/>
      </c>
      <c r="D51" t="s">
        <v>51</v>
      </c>
      <c r="E51" s="48" t="str">
        <f>IF(F51&lt;16,"0","")&amp;DEC2HEX(F51)</f>
        <v>67</v>
      </c>
      <c r="F51" s="36">
        <f>ROUND(F50*I38+G38,0)</f>
        <v>103</v>
      </c>
      <c r="G51" s="48" t="str">
        <f>IF(H51&lt;16,"0","")&amp;DEC2HEX(H51)</f>
        <v>00</v>
      </c>
      <c r="H51" s="36">
        <f>ROUND(H50*I38+G38,0)</f>
        <v>0</v>
      </c>
      <c r="I51" s="48" t="str">
        <f>IF(J51&lt;16,"0","")&amp;DEC2HEX(J51)</f>
        <v>00</v>
      </c>
      <c r="J51" s="36">
        <f>ROUND(J50*I38+G38,0)</f>
        <v>0</v>
      </c>
      <c r="K51" s="36"/>
      <c r="M51" s="14">
        <v>10</v>
      </c>
      <c r="N51" s="56" t="str">
        <f t="shared" si="60"/>
        <v/>
      </c>
      <c r="O51" t="s">
        <v>59</v>
      </c>
      <c r="P51" s="48" t="str">
        <f t="shared" si="61"/>
        <v>00</v>
      </c>
      <c r="Q51" s="36">
        <f>ROUND(Q50*T38+R38,0)</f>
        <v>0</v>
      </c>
      <c r="R51" s="48" t="str">
        <f t="shared" si="62"/>
        <v>00</v>
      </c>
      <c r="S51" s="36">
        <f>ROUND(S50*T38+R38,0)</f>
        <v>0</v>
      </c>
      <c r="T51" s="48" t="str">
        <f t="shared" si="63"/>
        <v>67</v>
      </c>
      <c r="U51" s="36">
        <f>ROUND(U50*T38+R38,0)</f>
        <v>103</v>
      </c>
    </row>
    <row r="54" spans="1:39" x14ac:dyDescent="0.3">
      <c r="AM54" s="120"/>
    </row>
    <row r="58" spans="1:39" x14ac:dyDescent="0.3">
      <c r="A58" t="s">
        <v>17</v>
      </c>
      <c r="E58" s="13" t="s">
        <v>0</v>
      </c>
      <c r="G58" s="13" t="s">
        <v>1</v>
      </c>
      <c r="I58" s="13" t="s">
        <v>2</v>
      </c>
      <c r="L58" t="s">
        <v>3</v>
      </c>
      <c r="M58" t="s">
        <v>6</v>
      </c>
      <c r="N58" t="s">
        <v>4</v>
      </c>
      <c r="O58" t="s">
        <v>5</v>
      </c>
      <c r="P58" s="13"/>
    </row>
    <row r="59" spans="1:39" x14ac:dyDescent="0.3">
      <c r="A59" t="s">
        <v>106</v>
      </c>
      <c r="B59" s="14">
        <v>1</v>
      </c>
      <c r="C59" s="91" t="str">
        <f>SetIt(C59, E59, G59, I59, "#" &amp; _xlfn.CONCAT(E59,G59,I59))</f>
        <v/>
      </c>
      <c r="D59" t="s">
        <v>94</v>
      </c>
      <c r="E59" s="48" t="str">
        <f>IF(F59&lt;16,"0","")&amp;DEC2HEX(F59)</f>
        <v>01</v>
      </c>
      <c r="F59" s="36">
        <v>1</v>
      </c>
      <c r="G59" s="48" t="str">
        <f>IF(H59&lt;16,"0","")&amp;DEC2HEX(H59)</f>
        <v>6E</v>
      </c>
      <c r="H59" s="36">
        <v>110</v>
      </c>
      <c r="I59" s="48" t="str">
        <f>IF(J59&lt;16,"0","")&amp;DEC2HEX(J59)</f>
        <v>F0</v>
      </c>
      <c r="J59" s="36">
        <v>240</v>
      </c>
      <c r="P59" s="1"/>
      <c r="R59" s="1"/>
    </row>
    <row r="60" spans="1:39" x14ac:dyDescent="0.3">
      <c r="A60" t="s">
        <v>107</v>
      </c>
      <c r="B60" s="14">
        <v>2</v>
      </c>
      <c r="C60" s="93" t="str">
        <f>SetIt(C60, E60, G60, I60, "#" &amp; _xlfn.CONCAT(E60,G60,I60))</f>
        <v/>
      </c>
      <c r="D60" t="s">
        <v>96</v>
      </c>
      <c r="E60" s="48" t="str">
        <f>IF(F60&lt;16,"0","")&amp;DEC2HEX(F60)</f>
        <v>1A</v>
      </c>
      <c r="F60" s="36">
        <f>ROUND(F$59*O60+N60,0)</f>
        <v>26</v>
      </c>
      <c r="G60" s="48" t="str">
        <f>IF(H60&lt;16,"0","")&amp;DEC2HEX(H60)</f>
        <v>7D</v>
      </c>
      <c r="H60" s="36">
        <f>ROUND(H$59*O60+N60,0)</f>
        <v>125</v>
      </c>
      <c r="I60" s="48" t="str">
        <f>IF(J60&lt;16,"0","")&amp;DEC2HEX(J60)</f>
        <v>F2</v>
      </c>
      <c r="J60" s="36">
        <f>ROUND(J$59*O60+N60,0)</f>
        <v>242</v>
      </c>
      <c r="L60">
        <v>0.1</v>
      </c>
      <c r="M60" t="b">
        <f>(L60&lt;0)</f>
        <v>0</v>
      </c>
      <c r="N60" s="1">
        <f>IF(M60,0,255*L60)</f>
        <v>25.5</v>
      </c>
      <c r="O60" s="1">
        <f>IF(M60,1+L60,1-L60)</f>
        <v>0.9</v>
      </c>
      <c r="S60" s="34">
        <v>-0.1</v>
      </c>
      <c r="T60">
        <v>0.1</v>
      </c>
      <c r="U60" s="1"/>
    </row>
    <row r="61" spans="1:39" x14ac:dyDescent="0.3">
      <c r="B61" s="14">
        <v>3</v>
      </c>
      <c r="C61" s="94" t="str">
        <f t="shared" ref="C61:C68" si="64">SetIt(C61, E61, G61, I61, "#" &amp; _xlfn.CONCAT(E61,G61,I61))</f>
        <v/>
      </c>
      <c r="D61" t="s">
        <v>97</v>
      </c>
      <c r="E61" s="48" t="str">
        <f t="shared" ref="E61:E69" si="65">IF(F61&lt;16,"0","")&amp;DEC2HEX(F61)</f>
        <v>34</v>
      </c>
      <c r="F61" s="36">
        <f>ROUND(F$59*O61+N61,0)</f>
        <v>52</v>
      </c>
      <c r="G61" s="48" t="str">
        <f t="shared" ref="G61:G69" si="66">IF(H61&lt;16,"0","")&amp;DEC2HEX(H61)</f>
        <v>8B</v>
      </c>
      <c r="H61" s="36">
        <f>ROUND(H$59*O61+N61,0)</f>
        <v>139</v>
      </c>
      <c r="I61" s="48" t="str">
        <f t="shared" ref="I61:I69" si="67">IF(J61&lt;16,"0","")&amp;DEC2HEX(J61)</f>
        <v>F3</v>
      </c>
      <c r="J61" s="36">
        <f>ROUND(J$59*O61+N61,0)</f>
        <v>243</v>
      </c>
      <c r="L61">
        <v>0.2</v>
      </c>
      <c r="M61" t="b">
        <f t="shared" ref="M61:M69" si="68">(L61&lt;0)</f>
        <v>0</v>
      </c>
      <c r="N61" s="1">
        <f t="shared" ref="N61:N68" si="69">IF(M61,0,255*L61)</f>
        <v>51</v>
      </c>
      <c r="O61" s="1">
        <f t="shared" ref="O61:O68" si="70">IF(M61,1+L61,1-L61)</f>
        <v>0.8</v>
      </c>
      <c r="S61" s="34">
        <v>-0.2</v>
      </c>
      <c r="T61">
        <v>0.2</v>
      </c>
      <c r="U61" s="1"/>
    </row>
    <row r="62" spans="1:39" x14ac:dyDescent="0.3">
      <c r="B62" s="14">
        <v>4</v>
      </c>
      <c r="C62" s="96" t="str">
        <f t="shared" si="64"/>
        <v/>
      </c>
      <c r="D62" t="s">
        <v>99</v>
      </c>
      <c r="E62" s="48" t="str">
        <f t="shared" si="65"/>
        <v>4D</v>
      </c>
      <c r="F62" s="36">
        <f>ROUND(F$59*O62+N62,0)</f>
        <v>77</v>
      </c>
      <c r="G62" s="48" t="str">
        <f t="shared" si="66"/>
        <v>9A</v>
      </c>
      <c r="H62" s="36">
        <f>ROUND(H$59*O62+N62,0)</f>
        <v>154</v>
      </c>
      <c r="I62" s="48" t="str">
        <f t="shared" si="67"/>
        <v>F5</v>
      </c>
      <c r="J62" s="36">
        <f>ROUND(J$59*O62+N62,0)</f>
        <v>245</v>
      </c>
      <c r="L62">
        <v>0.3</v>
      </c>
      <c r="M62" t="b">
        <f t="shared" si="68"/>
        <v>0</v>
      </c>
      <c r="N62" s="1">
        <f t="shared" si="69"/>
        <v>76.5</v>
      </c>
      <c r="O62" s="1">
        <f t="shared" si="70"/>
        <v>0.7</v>
      </c>
      <c r="S62" s="34">
        <v>-0.3</v>
      </c>
      <c r="T62">
        <v>0.3</v>
      </c>
      <c r="U62" s="1"/>
    </row>
    <row r="63" spans="1:39" x14ac:dyDescent="0.3">
      <c r="B63" s="14">
        <v>5</v>
      </c>
      <c r="C63" s="95" t="str">
        <f t="shared" si="64"/>
        <v/>
      </c>
      <c r="D63" t="s">
        <v>98</v>
      </c>
      <c r="E63" s="48" t="str">
        <f t="shared" si="65"/>
        <v>67</v>
      </c>
      <c r="F63" s="36">
        <f>ROUND(F$59*O63+N63,0)</f>
        <v>103</v>
      </c>
      <c r="G63" s="48" t="str">
        <f t="shared" si="66"/>
        <v>A8</v>
      </c>
      <c r="H63" s="36">
        <f>ROUND(H$59*O63+N63,0)</f>
        <v>168</v>
      </c>
      <c r="I63" s="48" t="str">
        <f t="shared" si="67"/>
        <v>F6</v>
      </c>
      <c r="J63" s="36">
        <f>ROUND(J$59*O63+N63,0)</f>
        <v>246</v>
      </c>
      <c r="L63">
        <v>0.4</v>
      </c>
      <c r="M63" t="b">
        <f t="shared" si="68"/>
        <v>0</v>
      </c>
      <c r="N63" s="1">
        <f t="shared" si="69"/>
        <v>102</v>
      </c>
      <c r="O63" s="1">
        <f t="shared" si="70"/>
        <v>0.6</v>
      </c>
      <c r="S63" s="34">
        <v>-0.4</v>
      </c>
      <c r="T63">
        <v>0.4</v>
      </c>
      <c r="U63" s="1"/>
    </row>
    <row r="64" spans="1:39" x14ac:dyDescent="0.3">
      <c r="B64" s="14">
        <v>6</v>
      </c>
      <c r="C64" s="97" t="str">
        <f t="shared" si="64"/>
        <v/>
      </c>
      <c r="D64" t="s">
        <v>100</v>
      </c>
      <c r="E64" s="48" t="str">
        <f t="shared" si="65"/>
        <v>80</v>
      </c>
      <c r="F64" s="36">
        <f>ROUND(F$59*O64+N64,0)</f>
        <v>128</v>
      </c>
      <c r="G64" s="48" t="str">
        <f t="shared" si="66"/>
        <v>B7</v>
      </c>
      <c r="H64" s="36">
        <f>ROUND(H$59*O64+N64,0)</f>
        <v>183</v>
      </c>
      <c r="I64" s="48" t="str">
        <f t="shared" si="67"/>
        <v>F8</v>
      </c>
      <c r="J64" s="36">
        <f>ROUND(J$59*O64+N64,0)</f>
        <v>248</v>
      </c>
      <c r="L64">
        <v>0.5</v>
      </c>
      <c r="M64" t="b">
        <f t="shared" si="68"/>
        <v>0</v>
      </c>
      <c r="N64" s="1">
        <f t="shared" si="69"/>
        <v>127.5</v>
      </c>
      <c r="O64" s="1">
        <f t="shared" si="70"/>
        <v>0.5</v>
      </c>
      <c r="S64" s="34">
        <v>-0.5</v>
      </c>
      <c r="T64">
        <v>0.5</v>
      </c>
      <c r="U64" s="1"/>
    </row>
    <row r="65" spans="1:21" x14ac:dyDescent="0.3">
      <c r="B65" s="14">
        <v>7</v>
      </c>
      <c r="C65" s="98" t="str">
        <f t="shared" si="64"/>
        <v/>
      </c>
      <c r="D65" t="s">
        <v>101</v>
      </c>
      <c r="E65" s="48" t="str">
        <f t="shared" si="65"/>
        <v>99</v>
      </c>
      <c r="F65" s="36">
        <f>ROUND(F$59*O65+N65,0)</f>
        <v>153</v>
      </c>
      <c r="G65" s="48" t="str">
        <f t="shared" si="66"/>
        <v>C5</v>
      </c>
      <c r="H65" s="36">
        <f>ROUND(H$59*O65+N65,0)</f>
        <v>197</v>
      </c>
      <c r="I65" s="48" t="str">
        <f t="shared" si="67"/>
        <v>F9</v>
      </c>
      <c r="J65" s="36">
        <f>ROUND(J$59*O65+N65,0)</f>
        <v>249</v>
      </c>
      <c r="L65">
        <v>0.6</v>
      </c>
      <c r="M65" t="b">
        <f t="shared" si="68"/>
        <v>0</v>
      </c>
      <c r="N65" s="1">
        <f t="shared" si="69"/>
        <v>153</v>
      </c>
      <c r="O65" s="1">
        <f t="shared" si="70"/>
        <v>0.4</v>
      </c>
      <c r="S65" s="34">
        <v>-0.6</v>
      </c>
      <c r="T65">
        <v>0.6</v>
      </c>
      <c r="U65" s="1"/>
    </row>
    <row r="66" spans="1:21" x14ac:dyDescent="0.3">
      <c r="B66" s="14">
        <v>8</v>
      </c>
      <c r="C66" s="101" t="str">
        <f t="shared" si="64"/>
        <v/>
      </c>
      <c r="D66" t="s">
        <v>104</v>
      </c>
      <c r="E66" s="48" t="str">
        <f t="shared" si="65"/>
        <v>B3</v>
      </c>
      <c r="F66" s="36">
        <f>ROUND(F$59*O66+N66,0)</f>
        <v>179</v>
      </c>
      <c r="G66" s="48" t="str">
        <f t="shared" si="66"/>
        <v>D4</v>
      </c>
      <c r="H66" s="36">
        <f>ROUND(H$59*O66+N66,0)</f>
        <v>212</v>
      </c>
      <c r="I66" s="48" t="str">
        <f t="shared" si="67"/>
        <v>FB</v>
      </c>
      <c r="J66" s="36">
        <f>ROUND(J$59*O66+N66,0)</f>
        <v>251</v>
      </c>
      <c r="L66">
        <v>0.7</v>
      </c>
      <c r="M66" t="b">
        <f t="shared" si="68"/>
        <v>0</v>
      </c>
      <c r="N66" s="1">
        <f t="shared" si="69"/>
        <v>178.5</v>
      </c>
      <c r="O66" s="1">
        <f t="shared" si="70"/>
        <v>0.30000000000000004</v>
      </c>
      <c r="S66" s="34">
        <v>-0.7</v>
      </c>
      <c r="T66">
        <v>0.7</v>
      </c>
      <c r="U66" s="1"/>
    </row>
    <row r="67" spans="1:21" x14ac:dyDescent="0.3">
      <c r="B67" s="14">
        <v>9</v>
      </c>
      <c r="C67" s="100" t="str">
        <f t="shared" si="64"/>
        <v/>
      </c>
      <c r="D67" t="s">
        <v>103</v>
      </c>
      <c r="E67" s="48" t="str">
        <f t="shared" si="65"/>
        <v>CC</v>
      </c>
      <c r="F67" s="36">
        <f>ROUND(F$59*O67+N67,0)</f>
        <v>204</v>
      </c>
      <c r="G67" s="48" t="str">
        <f t="shared" si="66"/>
        <v>E2</v>
      </c>
      <c r="H67" s="36">
        <f>ROUND(H$59*O67+N67,0)</f>
        <v>226</v>
      </c>
      <c r="I67" s="48" t="str">
        <f t="shared" si="67"/>
        <v>FC</v>
      </c>
      <c r="J67" s="36">
        <f>ROUND(J$59*O67+N67,0)</f>
        <v>252</v>
      </c>
      <c r="L67">
        <v>0.8</v>
      </c>
      <c r="M67" t="b">
        <f t="shared" si="68"/>
        <v>0</v>
      </c>
      <c r="N67" s="1">
        <f t="shared" si="69"/>
        <v>204</v>
      </c>
      <c r="O67" s="1">
        <f t="shared" si="70"/>
        <v>0.19999999999999996</v>
      </c>
      <c r="S67" s="34">
        <v>-0.8</v>
      </c>
      <c r="T67">
        <v>0.8</v>
      </c>
      <c r="U67" s="1"/>
    </row>
    <row r="68" spans="1:21" x14ac:dyDescent="0.3">
      <c r="B68" s="14">
        <v>10</v>
      </c>
      <c r="C68" s="99" t="str">
        <f t="shared" si="64"/>
        <v/>
      </c>
      <c r="D68" t="s">
        <v>102</v>
      </c>
      <c r="E68" s="48" t="str">
        <f t="shared" si="65"/>
        <v>E6</v>
      </c>
      <c r="F68" s="36">
        <f>ROUND(F$59*O68+N68,0)</f>
        <v>230</v>
      </c>
      <c r="G68" s="48" t="str">
        <f t="shared" si="66"/>
        <v>F1</v>
      </c>
      <c r="H68" s="36">
        <f>ROUND(H$59*O68+N68,0)</f>
        <v>241</v>
      </c>
      <c r="I68" s="48" t="str">
        <f t="shared" si="67"/>
        <v>FE</v>
      </c>
      <c r="J68" s="36">
        <f>ROUND(J$59*O68+N68,0)</f>
        <v>254</v>
      </c>
      <c r="L68">
        <v>0.9</v>
      </c>
      <c r="M68" t="b">
        <f t="shared" si="68"/>
        <v>0</v>
      </c>
      <c r="N68" s="1">
        <f t="shared" si="69"/>
        <v>229.5</v>
      </c>
      <c r="O68" s="1">
        <f t="shared" si="70"/>
        <v>9.9999999999999978E-2</v>
      </c>
      <c r="S68" s="34">
        <v>-0.9</v>
      </c>
      <c r="T68">
        <v>0.9</v>
      </c>
      <c r="U68" s="1"/>
    </row>
    <row r="69" spans="1:21" x14ac:dyDescent="0.3">
      <c r="B69" s="14">
        <v>11</v>
      </c>
      <c r="C69" s="92" t="str">
        <f>SetIt(C69, E69, G69, I69, "#" &amp; _xlfn.CONCAT(E69,G69,I69))</f>
        <v/>
      </c>
      <c r="D69" t="s">
        <v>95</v>
      </c>
      <c r="E69" s="48" t="str">
        <f t="shared" si="65"/>
        <v>F2</v>
      </c>
      <c r="F69" s="36">
        <f>ROUND(F$59*O69+N69,0)</f>
        <v>242</v>
      </c>
      <c r="G69" s="48" t="str">
        <f t="shared" si="66"/>
        <v>F8</v>
      </c>
      <c r="H69" s="36">
        <f>ROUND(H$59*O69+N69,0)</f>
        <v>248</v>
      </c>
      <c r="I69" s="48" t="str">
        <f t="shared" si="67"/>
        <v>FE</v>
      </c>
      <c r="J69" s="36">
        <f>ROUND(J$59*O69+N69,0)</f>
        <v>254</v>
      </c>
      <c r="L69">
        <v>0.95</v>
      </c>
      <c r="M69" t="b">
        <f t="shared" si="68"/>
        <v>0</v>
      </c>
      <c r="N69" s="1">
        <f>IF(M69,0,255*L69)</f>
        <v>242.25</v>
      </c>
      <c r="O69" s="1">
        <f>IF(M69,1+L69,1-L69)</f>
        <v>5.0000000000000044E-2</v>
      </c>
      <c r="S69" s="34">
        <v>-0.95</v>
      </c>
      <c r="T69">
        <v>0.95</v>
      </c>
      <c r="U69" s="1"/>
    </row>
    <row r="74" spans="1:21" x14ac:dyDescent="0.3">
      <c r="E74"/>
    </row>
    <row r="75" spans="1:21" x14ac:dyDescent="0.3">
      <c r="C75" t="s">
        <v>3</v>
      </c>
      <c r="D75" t="s">
        <v>6</v>
      </c>
      <c r="F75" t="s">
        <v>4</v>
      </c>
      <c r="I75" t="s">
        <v>5</v>
      </c>
      <c r="K75" s="1"/>
      <c r="M75" s="14"/>
      <c r="N75" t="s">
        <v>3</v>
      </c>
      <c r="O75" t="s">
        <v>6</v>
      </c>
      <c r="P75" s="13"/>
      <c r="Q75" t="s">
        <v>4</v>
      </c>
      <c r="R75" s="13"/>
      <c r="T75" t="s">
        <v>5</v>
      </c>
    </row>
    <row r="76" spans="1:21" x14ac:dyDescent="0.3">
      <c r="C76" s="1">
        <v>-0.1</v>
      </c>
      <c r="D76" t="b">
        <f>(C76&lt;0)</f>
        <v>1</v>
      </c>
      <c r="E76" s="126">
        <f>IF(D76,0,255*C76)</f>
        <v>0</v>
      </c>
      <c r="F76" s="126"/>
      <c r="G76" s="126"/>
      <c r="H76" s="126">
        <f>IF(D76,1+C76,1-C76)</f>
        <v>0.9</v>
      </c>
      <c r="I76" s="126"/>
      <c r="J76" s="126"/>
      <c r="M76" s="14"/>
      <c r="N76" s="1">
        <v>0.25</v>
      </c>
      <c r="O76" t="b">
        <f>(N76&lt;0)</f>
        <v>0</v>
      </c>
      <c r="P76" s="126">
        <f>IF(O76,0,255*N76)</f>
        <v>63.75</v>
      </c>
      <c r="Q76" s="126"/>
      <c r="R76" s="126"/>
      <c r="S76" s="126">
        <f>IF(O76,1+N76,1-N76)</f>
        <v>0.75</v>
      </c>
      <c r="T76" s="126"/>
      <c r="U76" s="126"/>
    </row>
    <row r="77" spans="1:21" x14ac:dyDescent="0.3">
      <c r="A77" t="s">
        <v>17</v>
      </c>
      <c r="E77" s="13" t="s">
        <v>0</v>
      </c>
      <c r="G77" s="13" t="s">
        <v>1</v>
      </c>
      <c r="I77" s="13" t="s">
        <v>2</v>
      </c>
      <c r="M77" s="14"/>
      <c r="P77" s="13" t="s">
        <v>0</v>
      </c>
      <c r="R77" s="13" t="s">
        <v>1</v>
      </c>
      <c r="T77" s="13" t="s">
        <v>2</v>
      </c>
    </row>
    <row r="78" spans="1:21" x14ac:dyDescent="0.3">
      <c r="A78" t="s">
        <v>92</v>
      </c>
      <c r="B78" s="14">
        <v>1</v>
      </c>
      <c r="C78" s="2" t="str">
        <f>SetIt(C78, E78, G78, I78, "#" &amp; _xlfn.CONCAT(E78,G78,I78))</f>
        <v/>
      </c>
      <c r="D78" t="s">
        <v>7</v>
      </c>
      <c r="E78" s="48" t="str">
        <f t="shared" ref="E78:E87" si="71">IF(F78&lt;16,"0","")&amp;DEC2HEX(F78)</f>
        <v>FF</v>
      </c>
      <c r="F78" s="36">
        <v>255</v>
      </c>
      <c r="G78" s="48" t="str">
        <f t="shared" ref="G78:G87" si="72">IF(H78&lt;16,"0","")&amp;DEC2HEX(H78)</f>
        <v>00</v>
      </c>
      <c r="H78" s="36">
        <v>0</v>
      </c>
      <c r="I78" s="48" t="str">
        <f t="shared" ref="I78:I87" si="73">IF(J78&lt;16,"0","")&amp;DEC2HEX(J78)</f>
        <v>00</v>
      </c>
      <c r="J78" s="36">
        <v>0</v>
      </c>
      <c r="K78" s="36"/>
      <c r="M78" s="14">
        <v>1</v>
      </c>
      <c r="N78" s="80" t="str">
        <f>SetIt(N78, P78, R78, T78, "#" &amp; _xlfn.CONCAT(P78,R78,T78))</f>
        <v/>
      </c>
      <c r="O78" t="s">
        <v>82</v>
      </c>
      <c r="P78" s="48" t="str">
        <f t="shared" ref="P78:P87" si="74">IF(Q78&lt;16,"0","")&amp;DEC2HEX(Q78)</f>
        <v>01</v>
      </c>
      <c r="Q78" s="36">
        <v>1</v>
      </c>
      <c r="R78" s="48" t="str">
        <f t="shared" ref="R78:R87" si="75">IF(S78&lt;16,"0","")&amp;DEC2HEX(S78)</f>
        <v>57</v>
      </c>
      <c r="S78" s="36">
        <v>87</v>
      </c>
      <c r="T78" s="48" t="str">
        <f t="shared" ref="T78:T87" si="76">IF(U78&lt;16,"0","")&amp;DEC2HEX(U78)</f>
        <v>9B</v>
      </c>
      <c r="U78" s="36">
        <v>155</v>
      </c>
    </row>
    <row r="79" spans="1:21" x14ac:dyDescent="0.3">
      <c r="A79" t="s">
        <v>105</v>
      </c>
      <c r="B79" s="14">
        <v>2</v>
      </c>
      <c r="C79" s="4" t="str">
        <f>SetIt(C79, E79, G79, I79, "#" &amp; _xlfn.CONCAT(E79,G79,I79))</f>
        <v/>
      </c>
      <c r="D79" t="s">
        <v>8</v>
      </c>
      <c r="E79" s="48" t="str">
        <f t="shared" si="71"/>
        <v>E6</v>
      </c>
      <c r="F79" s="36">
        <f>ROUND(F78*H76+E76,0)</f>
        <v>230</v>
      </c>
      <c r="G79" s="48" t="str">
        <f t="shared" si="72"/>
        <v>00</v>
      </c>
      <c r="H79" s="36">
        <f>ROUND(H78*H76+E76,0)</f>
        <v>0</v>
      </c>
      <c r="I79" s="48" t="str">
        <f t="shared" si="73"/>
        <v>00</v>
      </c>
      <c r="J79" s="36">
        <f>ROUND(J78*H76+E76,0)</f>
        <v>0</v>
      </c>
      <c r="K79" s="36"/>
      <c r="M79" s="14">
        <v>2</v>
      </c>
      <c r="N79" s="81" t="str">
        <f>SetIt(N79, P79, R79, T79, "#" &amp; _xlfn.CONCAT(P79,R79,T79))</f>
        <v/>
      </c>
      <c r="O79" t="s">
        <v>83</v>
      </c>
      <c r="P79" s="48" t="str">
        <f t="shared" si="74"/>
        <v>41</v>
      </c>
      <c r="Q79" s="36">
        <f>ROUND(Q78*S76+P76,0)</f>
        <v>65</v>
      </c>
      <c r="R79" s="48" t="str">
        <f t="shared" si="75"/>
        <v>81</v>
      </c>
      <c r="S79" s="36">
        <f>ROUND(S78*S76+P76,0)</f>
        <v>129</v>
      </c>
      <c r="T79" s="48" t="str">
        <f t="shared" si="76"/>
        <v>B4</v>
      </c>
      <c r="U79" s="36">
        <f>ROUND(U78*S76+P76,0)</f>
        <v>180</v>
      </c>
    </row>
    <row r="80" spans="1:21" x14ac:dyDescent="0.3">
      <c r="B80" s="14">
        <v>3</v>
      </c>
      <c r="C80" s="12" t="str">
        <f t="shared" ref="C80:C87" si="77">SetIt(C80, E80, G80, I80, "#" &amp; _xlfn.CONCAT(E80,G80,I80))</f>
        <v/>
      </c>
      <c r="D80" t="s">
        <v>16</v>
      </c>
      <c r="E80" s="48" t="str">
        <f t="shared" si="71"/>
        <v>CF</v>
      </c>
      <c r="F80" s="36">
        <f>ROUND(F79*H76+E76,0)</f>
        <v>207</v>
      </c>
      <c r="G80" s="48" t="str">
        <f t="shared" si="72"/>
        <v>00</v>
      </c>
      <c r="H80" s="36">
        <f>ROUND(H79*H76+E76,0)</f>
        <v>0</v>
      </c>
      <c r="I80" s="48" t="str">
        <f t="shared" si="73"/>
        <v>00</v>
      </c>
      <c r="J80" s="36">
        <f>ROUND(J79*H76+E76,0)</f>
        <v>0</v>
      </c>
      <c r="K80" s="36"/>
      <c r="M80" s="14">
        <v>3</v>
      </c>
      <c r="N80" s="82" t="str">
        <f t="shared" ref="N80:N87" si="78">SetIt(N80, P80, R80, T80, "#" &amp; _xlfn.CONCAT(P80,R80,T80))</f>
        <v/>
      </c>
      <c r="O80" t="s">
        <v>84</v>
      </c>
      <c r="P80" s="48" t="str">
        <f t="shared" si="74"/>
        <v>71</v>
      </c>
      <c r="Q80" s="36">
        <f>ROUND(Q79*S76+P76,0)</f>
        <v>113</v>
      </c>
      <c r="R80" s="48" t="str">
        <f t="shared" si="75"/>
        <v>A1</v>
      </c>
      <c r="S80" s="36">
        <f>ROUND(S79*S76+P76,0)</f>
        <v>161</v>
      </c>
      <c r="T80" s="48" t="str">
        <f t="shared" si="76"/>
        <v>C7</v>
      </c>
      <c r="U80" s="36">
        <f>ROUND(U79*S76+P76,0)</f>
        <v>199</v>
      </c>
    </row>
    <row r="81" spans="1:21" x14ac:dyDescent="0.3">
      <c r="B81" s="14">
        <v>4</v>
      </c>
      <c r="C81" s="6" t="str">
        <f t="shared" si="77"/>
        <v/>
      </c>
      <c r="D81" t="s">
        <v>10</v>
      </c>
      <c r="E81" s="48" t="str">
        <f t="shared" si="71"/>
        <v>BA</v>
      </c>
      <c r="F81" s="36">
        <f>ROUND(F80*H76+E76,0)</f>
        <v>186</v>
      </c>
      <c r="G81" s="48" t="str">
        <f t="shared" si="72"/>
        <v>00</v>
      </c>
      <c r="H81" s="36">
        <f>ROUND(H80*H76+E76,0)</f>
        <v>0</v>
      </c>
      <c r="I81" s="48" t="str">
        <f t="shared" si="73"/>
        <v>00</v>
      </c>
      <c r="J81" s="36">
        <f>ROUND(J80*H76+E76,0)</f>
        <v>0</v>
      </c>
      <c r="K81" s="36"/>
      <c r="M81" s="14">
        <v>4</v>
      </c>
      <c r="N81" s="84" t="str">
        <f t="shared" si="78"/>
        <v/>
      </c>
      <c r="O81" t="s">
        <v>86</v>
      </c>
      <c r="P81" s="48" t="str">
        <f t="shared" si="74"/>
        <v>95</v>
      </c>
      <c r="Q81" s="36">
        <f>ROUND(Q80*S76+P76,0)</f>
        <v>149</v>
      </c>
      <c r="R81" s="48" t="str">
        <f t="shared" si="75"/>
        <v>B9</v>
      </c>
      <c r="S81" s="36">
        <f>ROUND(S80*S76+P76,0)</f>
        <v>185</v>
      </c>
      <c r="T81" s="48" t="str">
        <f t="shared" si="76"/>
        <v>D5</v>
      </c>
      <c r="U81" s="36">
        <f>ROUND(U80*S76+P76,0)</f>
        <v>213</v>
      </c>
    </row>
    <row r="82" spans="1:21" x14ac:dyDescent="0.3">
      <c r="B82" s="14">
        <v>5</v>
      </c>
      <c r="C82" s="7" t="str">
        <f t="shared" si="77"/>
        <v/>
      </c>
      <c r="D82" t="s">
        <v>11</v>
      </c>
      <c r="E82" s="48" t="str">
        <f t="shared" si="71"/>
        <v>A7</v>
      </c>
      <c r="F82" s="36">
        <f>ROUND(F81*H76+E76,0)</f>
        <v>167</v>
      </c>
      <c r="G82" s="48" t="str">
        <f t="shared" si="72"/>
        <v>00</v>
      </c>
      <c r="H82" s="36">
        <f>ROUND(H81*H76+E76,0)</f>
        <v>0</v>
      </c>
      <c r="I82" s="48" t="str">
        <f t="shared" si="73"/>
        <v>00</v>
      </c>
      <c r="J82" s="36">
        <f>ROUND(J81*H76+E76,0)</f>
        <v>0</v>
      </c>
      <c r="K82" s="36"/>
      <c r="M82" s="14">
        <v>5</v>
      </c>
      <c r="N82" s="83" t="str">
        <f t="shared" si="78"/>
        <v/>
      </c>
      <c r="O82" t="s">
        <v>85</v>
      </c>
      <c r="P82" s="48" t="str">
        <f t="shared" si="74"/>
        <v>B0</v>
      </c>
      <c r="Q82" s="36">
        <f>ROUND(Q81*S76+P76,0)</f>
        <v>176</v>
      </c>
      <c r="R82" s="48" t="str">
        <f t="shared" si="75"/>
        <v>CB</v>
      </c>
      <c r="S82" s="36">
        <f>ROUND(S81*S76+P76,0)</f>
        <v>203</v>
      </c>
      <c r="T82" s="48" t="str">
        <f t="shared" si="76"/>
        <v>E0</v>
      </c>
      <c r="U82" s="36">
        <f>ROUND(U81*S76+P76,0)</f>
        <v>224</v>
      </c>
    </row>
    <row r="83" spans="1:21" x14ac:dyDescent="0.3">
      <c r="B83" s="14">
        <v>6</v>
      </c>
      <c r="C83" s="10" t="str">
        <f t="shared" si="77"/>
        <v/>
      </c>
      <c r="D83" t="s">
        <v>14</v>
      </c>
      <c r="E83" s="48" t="str">
        <f t="shared" si="71"/>
        <v>96</v>
      </c>
      <c r="F83" s="36">
        <f>ROUND(F82*H76+E76,0)</f>
        <v>150</v>
      </c>
      <c r="G83" s="48" t="str">
        <f t="shared" si="72"/>
        <v>00</v>
      </c>
      <c r="H83" s="36">
        <f>ROUND(H82*H76+E76,0)</f>
        <v>0</v>
      </c>
      <c r="I83" s="48" t="str">
        <f t="shared" si="73"/>
        <v>00</v>
      </c>
      <c r="J83" s="36">
        <f>ROUND(J82*H76+E76,0)</f>
        <v>0</v>
      </c>
      <c r="K83" s="36"/>
      <c r="M83" s="14">
        <v>6</v>
      </c>
      <c r="N83" s="85" t="str">
        <f t="shared" si="78"/>
        <v/>
      </c>
      <c r="O83" t="s">
        <v>87</v>
      </c>
      <c r="P83" s="48" t="str">
        <f t="shared" si="74"/>
        <v>C4</v>
      </c>
      <c r="Q83" s="36">
        <f>ROUND(Q82*S76+P76,0)</f>
        <v>196</v>
      </c>
      <c r="R83" s="48" t="str">
        <f t="shared" si="75"/>
        <v>D8</v>
      </c>
      <c r="S83" s="36">
        <f>ROUND(S82*S76+P76,0)</f>
        <v>216</v>
      </c>
      <c r="T83" s="48" t="str">
        <f t="shared" si="76"/>
        <v>E8</v>
      </c>
      <c r="U83" s="36">
        <f>ROUND(U82*S76+P76,0)</f>
        <v>232</v>
      </c>
    </row>
    <row r="84" spans="1:21" x14ac:dyDescent="0.3">
      <c r="B84" s="14">
        <v>7</v>
      </c>
      <c r="C84" s="11" t="str">
        <f t="shared" si="77"/>
        <v/>
      </c>
      <c r="D84" t="s">
        <v>15</v>
      </c>
      <c r="E84" s="48" t="str">
        <f t="shared" si="71"/>
        <v>87</v>
      </c>
      <c r="F84" s="36">
        <f>ROUND(F83*H76+E76,0)</f>
        <v>135</v>
      </c>
      <c r="G84" s="48" t="str">
        <f t="shared" si="72"/>
        <v>00</v>
      </c>
      <c r="H84" s="36">
        <f>ROUND(H83*H76+E76,0)</f>
        <v>0</v>
      </c>
      <c r="I84" s="48" t="str">
        <f t="shared" si="73"/>
        <v>00</v>
      </c>
      <c r="J84" s="36">
        <f>ROUND(J83*H76+E76,0)</f>
        <v>0</v>
      </c>
      <c r="K84" s="36"/>
      <c r="M84" s="14">
        <v>7</v>
      </c>
      <c r="N84" s="86" t="str">
        <f t="shared" si="78"/>
        <v/>
      </c>
      <c r="O84" t="s">
        <v>88</v>
      </c>
      <c r="P84" s="48" t="str">
        <f t="shared" si="74"/>
        <v>D3</v>
      </c>
      <c r="Q84" s="36">
        <f>ROUND(Q83*S76+P76,0)</f>
        <v>211</v>
      </c>
      <c r="R84" s="48" t="str">
        <f t="shared" si="75"/>
        <v>E2</v>
      </c>
      <c r="S84" s="36">
        <f>ROUND(S83*S76+P76,0)</f>
        <v>226</v>
      </c>
      <c r="T84" s="48" t="str">
        <f t="shared" si="76"/>
        <v>EE</v>
      </c>
      <c r="U84" s="36">
        <f>ROUND(U83*S76+P76,0)</f>
        <v>238</v>
      </c>
    </row>
    <row r="85" spans="1:21" x14ac:dyDescent="0.3">
      <c r="B85" s="14">
        <v>8</v>
      </c>
      <c r="C85" s="5" t="str">
        <f t="shared" si="77"/>
        <v/>
      </c>
      <c r="D85" t="s">
        <v>9</v>
      </c>
      <c r="E85" s="48" t="str">
        <f t="shared" si="71"/>
        <v>7A</v>
      </c>
      <c r="F85" s="36">
        <f>ROUND(F84*H76+E76,0)</f>
        <v>122</v>
      </c>
      <c r="G85" s="48" t="str">
        <f t="shared" si="72"/>
        <v>00</v>
      </c>
      <c r="H85" s="36">
        <f>ROUND(H84*H76+E76,0)</f>
        <v>0</v>
      </c>
      <c r="I85" s="48" t="str">
        <f t="shared" si="73"/>
        <v>00</v>
      </c>
      <c r="J85" s="36">
        <f>ROUND(J84*H76+E76,0)</f>
        <v>0</v>
      </c>
      <c r="K85" s="36"/>
      <c r="M85" s="14">
        <v>8</v>
      </c>
      <c r="N85" s="87" t="str">
        <f t="shared" si="78"/>
        <v/>
      </c>
      <c r="O85" t="s">
        <v>89</v>
      </c>
      <c r="P85" s="48" t="str">
        <f t="shared" si="74"/>
        <v>DE</v>
      </c>
      <c r="Q85" s="36">
        <f>ROUND(Q84*S76+P76,0)</f>
        <v>222</v>
      </c>
      <c r="R85" s="48" t="str">
        <f t="shared" si="75"/>
        <v>E9</v>
      </c>
      <c r="S85" s="36">
        <f>ROUND(S84*S76+P76,0)</f>
        <v>233</v>
      </c>
      <c r="T85" s="48" t="str">
        <f t="shared" si="76"/>
        <v>F2</v>
      </c>
      <c r="U85" s="36">
        <f>ROUND(U84*S76+P76,0)</f>
        <v>242</v>
      </c>
    </row>
    <row r="86" spans="1:21" x14ac:dyDescent="0.3">
      <c r="B86" s="14">
        <v>9</v>
      </c>
      <c r="C86" s="8" t="str">
        <f t="shared" si="77"/>
        <v/>
      </c>
      <c r="D86" t="s">
        <v>12</v>
      </c>
      <c r="E86" s="48" t="str">
        <f t="shared" si="71"/>
        <v>6E</v>
      </c>
      <c r="F86" s="36">
        <f>ROUND(F85*H76+E76,0)</f>
        <v>110</v>
      </c>
      <c r="G86" s="48" t="str">
        <f t="shared" si="72"/>
        <v>00</v>
      </c>
      <c r="H86" s="36">
        <f>ROUND(H85*H76+E76,0)</f>
        <v>0</v>
      </c>
      <c r="I86" s="48" t="str">
        <f t="shared" si="73"/>
        <v>00</v>
      </c>
      <c r="J86" s="36">
        <f>ROUND(J85*H76+E76,0)</f>
        <v>0</v>
      </c>
      <c r="K86" s="36"/>
      <c r="M86" s="14">
        <v>9</v>
      </c>
      <c r="N86" s="88" t="str">
        <f t="shared" si="78"/>
        <v/>
      </c>
      <c r="O86" t="s">
        <v>90</v>
      </c>
      <c r="P86" s="48" t="str">
        <f t="shared" si="74"/>
        <v>E6</v>
      </c>
      <c r="Q86" s="36">
        <f>ROUND(Q85*S76+P76,0)</f>
        <v>230</v>
      </c>
      <c r="R86" s="48" t="str">
        <f t="shared" si="75"/>
        <v>EF</v>
      </c>
      <c r="S86" s="36">
        <f>ROUND(S85*S76+P76,0)</f>
        <v>239</v>
      </c>
      <c r="T86" s="48" t="str">
        <f t="shared" si="76"/>
        <v>F5</v>
      </c>
      <c r="U86" s="36">
        <f>ROUND(U85*S76+P76,0)</f>
        <v>245</v>
      </c>
    </row>
    <row r="87" spans="1:21" x14ac:dyDescent="0.3">
      <c r="B87" s="14">
        <v>10</v>
      </c>
      <c r="C87" s="9" t="str">
        <f t="shared" si="77"/>
        <v/>
      </c>
      <c r="D87" t="s">
        <v>13</v>
      </c>
      <c r="E87" s="48" t="str">
        <f t="shared" si="71"/>
        <v>63</v>
      </c>
      <c r="F87" s="36">
        <f>ROUND(F86*H76+E76,0)</f>
        <v>99</v>
      </c>
      <c r="G87" s="48" t="str">
        <f t="shared" si="72"/>
        <v>00</v>
      </c>
      <c r="H87" s="36">
        <f>ROUND(H86*H76+E76,0)</f>
        <v>0</v>
      </c>
      <c r="I87" s="48" t="str">
        <f t="shared" si="73"/>
        <v>00</v>
      </c>
      <c r="J87" s="36">
        <f>ROUND(J86*H76+E76,0)</f>
        <v>0</v>
      </c>
      <c r="K87" s="36"/>
      <c r="M87" s="14">
        <v>10</v>
      </c>
      <c r="N87" s="89" t="str">
        <f t="shared" si="78"/>
        <v/>
      </c>
      <c r="O87" t="s">
        <v>91</v>
      </c>
      <c r="P87" s="48" t="str">
        <f t="shared" si="74"/>
        <v>EC</v>
      </c>
      <c r="Q87" s="36">
        <f>ROUND(Q86*S76+P76,0)</f>
        <v>236</v>
      </c>
      <c r="R87" s="48" t="str">
        <f t="shared" si="75"/>
        <v>F3</v>
      </c>
      <c r="S87" s="36">
        <f>ROUND(S86*S76+P76,0)</f>
        <v>243</v>
      </c>
      <c r="T87" s="48" t="str">
        <f t="shared" si="76"/>
        <v>F8</v>
      </c>
      <c r="U87" s="36">
        <f>ROUND(U86*S76+P76,0)</f>
        <v>248</v>
      </c>
    </row>
    <row r="88" spans="1:21" x14ac:dyDescent="0.3">
      <c r="E88" s="48"/>
      <c r="F88" s="3"/>
      <c r="G88" s="48"/>
      <c r="H88" s="3"/>
      <c r="I88" s="48"/>
      <c r="L88" s="36"/>
      <c r="M88" s="36"/>
      <c r="N88" s="36"/>
      <c r="P88" s="1"/>
      <c r="R88" s="1"/>
      <c r="S88" s="1"/>
    </row>
    <row r="89" spans="1:21" x14ac:dyDescent="0.3">
      <c r="E89" s="48"/>
      <c r="F89" s="3"/>
      <c r="G89" s="48"/>
      <c r="H89" s="3"/>
      <c r="I89" s="48"/>
      <c r="L89" s="36"/>
      <c r="M89" s="36"/>
      <c r="N89" s="36"/>
      <c r="P89" s="1"/>
      <c r="R89" s="1"/>
      <c r="S89" s="1"/>
    </row>
    <row r="90" spans="1:21" x14ac:dyDescent="0.3">
      <c r="C90" s="1">
        <v>0.1</v>
      </c>
      <c r="D90" t="b">
        <f>(C90&lt;0)</f>
        <v>0</v>
      </c>
      <c r="E90" s="126">
        <f>IF(D90,0,C90*255^2)</f>
        <v>6502.5</v>
      </c>
      <c r="F90" s="126"/>
      <c r="G90" s="126"/>
      <c r="H90" s="126">
        <f>IF(D90,1+C90,1-C90)</f>
        <v>0.9</v>
      </c>
      <c r="I90" s="126"/>
      <c r="J90" s="126"/>
      <c r="K90" s="1"/>
      <c r="L90" s="36"/>
      <c r="M90" s="14"/>
      <c r="N90" s="1">
        <v>0.15</v>
      </c>
      <c r="O90" t="b">
        <f>(N90&lt;0)</f>
        <v>0</v>
      </c>
      <c r="P90" s="126">
        <f>IF(O90,0,N90*255^2)</f>
        <v>9753.75</v>
      </c>
      <c r="Q90" s="126"/>
      <c r="R90" s="126"/>
      <c r="S90" s="126">
        <f>IF(O90,1+N90,1-N90)</f>
        <v>0.85</v>
      </c>
      <c r="T90" s="126"/>
      <c r="U90" s="126"/>
    </row>
    <row r="91" spans="1:21" x14ac:dyDescent="0.3">
      <c r="A91" t="s">
        <v>18</v>
      </c>
      <c r="L91" s="36"/>
      <c r="M91" s="14"/>
      <c r="P91" s="13"/>
      <c r="R91" s="13"/>
      <c r="T91" s="13"/>
    </row>
    <row r="92" spans="1:21" x14ac:dyDescent="0.3">
      <c r="A92" t="s">
        <v>92</v>
      </c>
      <c r="B92" s="14">
        <v>1</v>
      </c>
      <c r="C92" s="17" t="str">
        <f>SetIt(C92, E92, G92, I92, "#" &amp; _xlfn.CONCAT(E92,G92,I92))</f>
        <v/>
      </c>
      <c r="D92" t="s">
        <v>22</v>
      </c>
      <c r="E92" s="48" t="str">
        <f t="shared" ref="E92:E107" si="79">IF(F92&lt;16,"0","")&amp;DEC2HEX(F92)</f>
        <v>F4</v>
      </c>
      <c r="F92" s="36">
        <v>244</v>
      </c>
      <c r="G92" s="48" t="str">
        <f t="shared" ref="G92:G107" si="80">IF(H92&lt;16,"0","")&amp;DEC2HEX(H92)</f>
        <v>80</v>
      </c>
      <c r="H92" s="36">
        <v>128</v>
      </c>
      <c r="I92" s="48" t="str">
        <f t="shared" ref="I92:I107" si="81">IF(J92&lt;16,"0","")&amp;DEC2HEX(J92)</f>
        <v>00</v>
      </c>
      <c r="J92" s="36">
        <v>0</v>
      </c>
      <c r="K92" s="36"/>
      <c r="M92" s="14">
        <v>1</v>
      </c>
      <c r="N92" s="64" t="str">
        <f>SetIt(N92, P92, R92, T92, "#" &amp; _xlfn.CONCAT(P92,R92,T92))</f>
        <v/>
      </c>
      <c r="O92" t="s">
        <v>66</v>
      </c>
      <c r="P92" s="48" t="str">
        <f t="shared" ref="P92:P107" si="82">IF(Q92&lt;16,"0","")&amp;DEC2HEX(Q92)</f>
        <v>02</v>
      </c>
      <c r="Q92" s="36">
        <v>2</v>
      </c>
      <c r="R92" s="48" t="str">
        <f t="shared" ref="R92:R107" si="83">IF(S92&lt;16,"0","")&amp;DEC2HEX(S92)</f>
        <v>77</v>
      </c>
      <c r="S92" s="36">
        <v>119</v>
      </c>
      <c r="T92" s="48" t="str">
        <f t="shared" ref="T92:T107" si="84">IF(U92&lt;16,"0","")&amp;DEC2HEX(U92)</f>
        <v>BD</v>
      </c>
      <c r="U92" s="36">
        <v>189</v>
      </c>
    </row>
    <row r="93" spans="1:21" x14ac:dyDescent="0.3">
      <c r="A93" t="s">
        <v>105</v>
      </c>
      <c r="B93" s="14">
        <v>2</v>
      </c>
      <c r="C93" s="19" t="str">
        <f>SetIt(C93, E93, G93, I93, "#" &amp; _xlfn.CONCAT(E93,G93,I93))</f>
        <v/>
      </c>
      <c r="D93" t="s">
        <v>24</v>
      </c>
      <c r="E93" s="48" t="str">
        <f t="shared" si="79"/>
        <v>F5</v>
      </c>
      <c r="F93" s="36">
        <f>ROUND((H90*F92^2+E90)^0.5,0)</f>
        <v>245</v>
      </c>
      <c r="G93" s="48" t="str">
        <f t="shared" si="80"/>
        <v>92</v>
      </c>
      <c r="H93" s="36">
        <f>ROUND((H90*H92^2+E90)^0.5,0)</f>
        <v>146</v>
      </c>
      <c r="I93" s="48" t="str">
        <f t="shared" si="81"/>
        <v>51</v>
      </c>
      <c r="J93" s="36">
        <f>ROUND((H90*J92^2+E90)^0.5,0)</f>
        <v>81</v>
      </c>
      <c r="K93" s="36"/>
      <c r="M93" s="14">
        <v>2</v>
      </c>
      <c r="N93" s="67" t="str">
        <f>SetIt(N93, P93, R93, T93, "#" &amp; _xlfn.CONCAT(P93,R93,T93))</f>
        <v/>
      </c>
      <c r="O93" t="s">
        <v>69</v>
      </c>
      <c r="P93" s="48" t="str">
        <f t="shared" si="82"/>
        <v>63</v>
      </c>
      <c r="Q93" s="36">
        <f>ROUND((S90*Q92^2+P90)^0.5,0)</f>
        <v>99</v>
      </c>
      <c r="R93" s="48" t="str">
        <f t="shared" si="83"/>
        <v>94</v>
      </c>
      <c r="S93" s="36">
        <f>ROUND((S90*S92^2+P90)^0.5,0)</f>
        <v>148</v>
      </c>
      <c r="T93" s="48" t="str">
        <f t="shared" si="84"/>
        <v>C8</v>
      </c>
      <c r="U93" s="36">
        <f>ROUND((S90*U92^2+P90)^0.5,0)</f>
        <v>200</v>
      </c>
    </row>
    <row r="94" spans="1:21" x14ac:dyDescent="0.3">
      <c r="B94" s="14">
        <v>3</v>
      </c>
      <c r="C94" s="20" t="str">
        <f>SetIt(C94, E94, G94, I94, "#" &amp; _xlfn.CONCAT(E94,G94,I94))</f>
        <v/>
      </c>
      <c r="D94" t="s">
        <v>25</v>
      </c>
      <c r="E94" s="48" t="str">
        <f t="shared" si="79"/>
        <v>F6</v>
      </c>
      <c r="F94" s="36">
        <f>ROUND((H90*F93^2+E90)^0.5,0)</f>
        <v>246</v>
      </c>
      <c r="G94" s="48" t="str">
        <f t="shared" si="80"/>
        <v>A0</v>
      </c>
      <c r="H94" s="36">
        <f>ROUND((H90*H93^2+E90)^0.5,0)</f>
        <v>160</v>
      </c>
      <c r="I94" s="48" t="str">
        <f t="shared" si="81"/>
        <v>6F</v>
      </c>
      <c r="J94" s="36">
        <f>ROUND((H90*J93^2+E90)^0.5,0)</f>
        <v>111</v>
      </c>
      <c r="K94" s="36"/>
      <c r="M94" s="14">
        <v>3</v>
      </c>
      <c r="N94" s="66" t="str">
        <f>SetIt(N94, P94, R94, T94, "#" &amp; _xlfn.CONCAT(P94,R94,T94))</f>
        <v/>
      </c>
      <c r="O94" t="s">
        <v>68</v>
      </c>
      <c r="P94" s="48" t="str">
        <f t="shared" si="82"/>
        <v>86</v>
      </c>
      <c r="Q94" s="36">
        <f>ROUND((S90*Q93^2+P90)^0.5,0)</f>
        <v>134</v>
      </c>
      <c r="R94" s="48" t="str">
        <f t="shared" si="83"/>
        <v>A8</v>
      </c>
      <c r="S94" s="36">
        <f>ROUND((S90*S93^2+P90)^0.5,0)</f>
        <v>168</v>
      </c>
      <c r="T94" s="48" t="str">
        <f t="shared" si="84"/>
        <v>D1</v>
      </c>
      <c r="U94" s="36">
        <f>ROUND((S90*U93^2+P90)^0.5,0)</f>
        <v>209</v>
      </c>
    </row>
    <row r="95" spans="1:21" x14ac:dyDescent="0.3">
      <c r="B95" s="14">
        <v>4</v>
      </c>
      <c r="C95" s="21" t="str">
        <f t="shared" ref="C95:C103" si="85">SetIt(C95, E95, G95, I95, "#" &amp; _xlfn.CONCAT(E95,G95,I95))</f>
        <v/>
      </c>
      <c r="D95" t="s">
        <v>26</v>
      </c>
      <c r="E95" s="48" t="str">
        <f t="shared" si="79"/>
        <v>F7</v>
      </c>
      <c r="F95" s="36">
        <f>ROUND((H90*F94^2+E90)^0.5,0)</f>
        <v>247</v>
      </c>
      <c r="G95" s="48" t="str">
        <f t="shared" si="80"/>
        <v>AC</v>
      </c>
      <c r="H95" s="36">
        <f>ROUND((H90*H94^2+E90)^0.5,0)</f>
        <v>172</v>
      </c>
      <c r="I95" s="48" t="str">
        <f t="shared" si="81"/>
        <v>85</v>
      </c>
      <c r="J95" s="36">
        <f>ROUND((H90*J94^2+E90)^0.5,0)</f>
        <v>133</v>
      </c>
      <c r="K95" s="36"/>
      <c r="M95" s="14">
        <v>4</v>
      </c>
      <c r="N95" s="69" t="str">
        <f t="shared" ref="N95:N107" si="86">SetIt(N95, P95, R95, T95, "#" &amp; _xlfn.CONCAT(P95,R95,T95))</f>
        <v/>
      </c>
      <c r="O95" t="s">
        <v>71</v>
      </c>
      <c r="P95" s="48" t="str">
        <f t="shared" si="82"/>
        <v>9E</v>
      </c>
      <c r="Q95" s="36">
        <f>ROUND((S90*Q94^2+P90)^0.5,0)</f>
        <v>158</v>
      </c>
      <c r="R95" s="48" t="str">
        <f t="shared" si="83"/>
        <v>B8</v>
      </c>
      <c r="S95" s="36">
        <f>ROUND((S90*S94^2+P90)^0.5,0)</f>
        <v>184</v>
      </c>
      <c r="T95" s="48" t="str">
        <f t="shared" si="84"/>
        <v>D9</v>
      </c>
      <c r="U95" s="36">
        <f>ROUND((S90*U94^2+P90)^0.5,0)</f>
        <v>217</v>
      </c>
    </row>
    <row r="96" spans="1:21" x14ac:dyDescent="0.3">
      <c r="B96" s="14">
        <v>5</v>
      </c>
      <c r="C96" s="22" t="str">
        <f t="shared" si="85"/>
        <v/>
      </c>
      <c r="D96" t="s">
        <v>27</v>
      </c>
      <c r="E96" s="48" t="str">
        <f t="shared" si="79"/>
        <v>F8</v>
      </c>
      <c r="F96" s="36">
        <f>ROUND((H90*F95^2+E90)^0.5,0)</f>
        <v>248</v>
      </c>
      <c r="G96" s="48" t="str">
        <f t="shared" si="80"/>
        <v>B6</v>
      </c>
      <c r="H96" s="36">
        <f>ROUND((H90*H95^2+E90)^0.5,0)</f>
        <v>182</v>
      </c>
      <c r="I96" s="48" t="str">
        <f t="shared" si="81"/>
        <v>96</v>
      </c>
      <c r="J96" s="36">
        <f>ROUND((H90*J95^2+E90)^0.5,0)</f>
        <v>150</v>
      </c>
      <c r="K96" s="36"/>
      <c r="M96" s="14">
        <v>5</v>
      </c>
      <c r="N96" s="68" t="str">
        <f t="shared" si="86"/>
        <v/>
      </c>
      <c r="O96" t="s">
        <v>70</v>
      </c>
      <c r="P96" s="48" t="str">
        <f t="shared" si="82"/>
        <v>B0</v>
      </c>
      <c r="Q96" s="36">
        <f>ROUND((S90*Q95^2+P90)^0.5,0)</f>
        <v>176</v>
      </c>
      <c r="R96" s="48" t="str">
        <f t="shared" si="83"/>
        <v>C4</v>
      </c>
      <c r="S96" s="36">
        <f>ROUND((S90*S95^2+P90)^0.5,0)</f>
        <v>196</v>
      </c>
      <c r="T96" s="48" t="str">
        <f t="shared" si="84"/>
        <v>DF</v>
      </c>
      <c r="U96" s="36">
        <f>ROUND((S90*U95^2+P90)^0.5,0)</f>
        <v>223</v>
      </c>
    </row>
    <row r="97" spans="2:21" x14ac:dyDescent="0.3">
      <c r="B97" s="14">
        <v>6</v>
      </c>
      <c r="C97" s="23" t="str">
        <f t="shared" si="85"/>
        <v/>
      </c>
      <c r="D97" t="s">
        <v>28</v>
      </c>
      <c r="E97" s="48" t="str">
        <f t="shared" si="79"/>
        <v>F9</v>
      </c>
      <c r="F97" s="36">
        <f>ROUND((H90*F96^2+E90)^0.5,0)</f>
        <v>249</v>
      </c>
      <c r="G97" s="48" t="str">
        <f t="shared" si="80"/>
        <v>BF</v>
      </c>
      <c r="H97" s="36">
        <f>ROUND((H90*H96^2+E90)^0.5,0)</f>
        <v>191</v>
      </c>
      <c r="I97" s="48" t="str">
        <f t="shared" si="81"/>
        <v>A4</v>
      </c>
      <c r="J97" s="36">
        <f>ROUND((H90*J96^2+E90)^0.5,0)</f>
        <v>164</v>
      </c>
      <c r="K97" s="36"/>
      <c r="M97" s="14">
        <v>6</v>
      </c>
      <c r="N97" s="70" t="str">
        <f t="shared" si="86"/>
        <v/>
      </c>
      <c r="O97" t="s">
        <v>72</v>
      </c>
      <c r="P97" s="48" t="str">
        <f t="shared" si="82"/>
        <v>BE</v>
      </c>
      <c r="Q97" s="36">
        <f>ROUND((S90*Q96^2+P90)^0.5,0)</f>
        <v>190</v>
      </c>
      <c r="R97" s="48" t="str">
        <f t="shared" si="83"/>
        <v>CE</v>
      </c>
      <c r="S97" s="36">
        <f>ROUND((S90*S96^2+P90)^0.5,0)</f>
        <v>206</v>
      </c>
      <c r="T97" s="48" t="str">
        <f t="shared" si="84"/>
        <v>E4</v>
      </c>
      <c r="U97" s="36">
        <f>ROUND((S90*U96^2+P90)^0.5,0)</f>
        <v>228</v>
      </c>
    </row>
    <row r="98" spans="2:21" x14ac:dyDescent="0.3">
      <c r="B98" s="14">
        <v>7</v>
      </c>
      <c r="C98" s="24" t="str">
        <f t="shared" si="85"/>
        <v/>
      </c>
      <c r="D98" t="s">
        <v>29</v>
      </c>
      <c r="E98" s="48" t="str">
        <f t="shared" si="79"/>
        <v>FA</v>
      </c>
      <c r="F98" s="36">
        <f>ROUND((H90*F97^2+E90)^0.5,0)</f>
        <v>250</v>
      </c>
      <c r="G98" s="48" t="str">
        <f t="shared" si="80"/>
        <v>C6</v>
      </c>
      <c r="H98" s="36">
        <f>ROUND((H90*H97^2+E90)^0.5,0)</f>
        <v>198</v>
      </c>
      <c r="I98" s="48" t="str">
        <f t="shared" si="81"/>
        <v>AF</v>
      </c>
      <c r="J98" s="36">
        <f>ROUND((H90*J97^2+E90)^0.5,0)</f>
        <v>175</v>
      </c>
      <c r="K98" s="36"/>
      <c r="M98" s="14">
        <v>7</v>
      </c>
      <c r="N98" s="71" t="str">
        <f t="shared" si="86"/>
        <v/>
      </c>
      <c r="O98" t="s">
        <v>73</v>
      </c>
      <c r="P98" s="48" t="str">
        <f t="shared" si="82"/>
        <v>C9</v>
      </c>
      <c r="Q98" s="36">
        <f>ROUND((S90*Q97^2+P90)^0.5,0)</f>
        <v>201</v>
      </c>
      <c r="R98" s="48" t="str">
        <f t="shared" si="83"/>
        <v>D6</v>
      </c>
      <c r="S98" s="36">
        <f>ROUND((S90*S97^2+P90)^0.5,0)</f>
        <v>214</v>
      </c>
      <c r="T98" s="48" t="str">
        <f t="shared" si="84"/>
        <v>E8</v>
      </c>
      <c r="U98" s="36">
        <f>ROUND((S90*U97^2+P90)^0.5,0)</f>
        <v>232</v>
      </c>
    </row>
    <row r="99" spans="2:21" x14ac:dyDescent="0.3">
      <c r="B99" s="14">
        <v>8</v>
      </c>
      <c r="C99" s="25" t="str">
        <f t="shared" si="85"/>
        <v/>
      </c>
      <c r="D99" t="s">
        <v>30</v>
      </c>
      <c r="E99" s="48" t="str">
        <f t="shared" si="79"/>
        <v>FB</v>
      </c>
      <c r="F99" s="36">
        <f>ROUND((H90*F98^2+E90)^0.5,0)</f>
        <v>251</v>
      </c>
      <c r="G99" s="48" t="str">
        <f t="shared" si="80"/>
        <v>CC</v>
      </c>
      <c r="H99" s="36">
        <f>ROUND((H90*H98^2+E90)^0.5,0)</f>
        <v>204</v>
      </c>
      <c r="I99" s="48" t="str">
        <f t="shared" si="81"/>
        <v>B9</v>
      </c>
      <c r="J99" s="36">
        <f>ROUND((H90*J98^2+E90)^0.5,0)</f>
        <v>185</v>
      </c>
      <c r="K99" s="36"/>
      <c r="M99" s="14">
        <v>8</v>
      </c>
      <c r="N99" s="72" t="str">
        <f t="shared" si="86"/>
        <v/>
      </c>
      <c r="O99" t="s">
        <v>74</v>
      </c>
      <c r="P99" s="48" t="str">
        <f t="shared" si="82"/>
        <v>D2</v>
      </c>
      <c r="Q99" s="36">
        <f>ROUND((S90*Q98^2+P90)^0.5,0)</f>
        <v>210</v>
      </c>
      <c r="R99" s="48" t="str">
        <f t="shared" si="83"/>
        <v>DD</v>
      </c>
      <c r="S99" s="36">
        <f>ROUND((S90*S98^2+P90)^0.5,0)</f>
        <v>221</v>
      </c>
      <c r="T99" s="48" t="str">
        <f t="shared" si="84"/>
        <v>EC</v>
      </c>
      <c r="U99" s="36">
        <f>ROUND((S90*U98^2+P90)^0.5,0)</f>
        <v>236</v>
      </c>
    </row>
    <row r="100" spans="2:21" x14ac:dyDescent="0.3">
      <c r="B100" s="14">
        <v>9</v>
      </c>
      <c r="C100" s="26" t="str">
        <f t="shared" si="85"/>
        <v/>
      </c>
      <c r="D100" t="s">
        <v>31</v>
      </c>
      <c r="E100" s="48" t="str">
        <f t="shared" si="79"/>
        <v>FB</v>
      </c>
      <c r="F100" s="36">
        <f>ROUND((H90*F99^2+E90)^0.5,0)</f>
        <v>251</v>
      </c>
      <c r="G100" s="48" t="str">
        <f t="shared" si="80"/>
        <v>D2</v>
      </c>
      <c r="H100" s="36">
        <f>ROUND((H90*H99^2+E90)^0.5,0)</f>
        <v>210</v>
      </c>
      <c r="I100" s="48" t="str">
        <f t="shared" si="81"/>
        <v>C1</v>
      </c>
      <c r="J100" s="36">
        <f>ROUND((H90*J99^2+E90)^0.5,0)</f>
        <v>193</v>
      </c>
      <c r="K100" s="36"/>
      <c r="M100" s="14">
        <v>9</v>
      </c>
      <c r="N100" s="65" t="str">
        <f t="shared" si="86"/>
        <v/>
      </c>
      <c r="O100" t="s">
        <v>67</v>
      </c>
      <c r="P100" s="48" t="str">
        <f t="shared" si="82"/>
        <v>D9</v>
      </c>
      <c r="Q100" s="36">
        <f>ROUND((S90*Q99^2+P90)^0.5,0)</f>
        <v>217</v>
      </c>
      <c r="R100" s="48" t="str">
        <f t="shared" si="83"/>
        <v>E2</v>
      </c>
      <c r="S100" s="36">
        <f>ROUND((S90*S99^2+P90)^0.5,0)</f>
        <v>226</v>
      </c>
      <c r="T100" s="48" t="str">
        <f t="shared" si="84"/>
        <v>EF</v>
      </c>
      <c r="U100" s="36">
        <f>ROUND((S90*U99^2+P90)^0.5,0)</f>
        <v>239</v>
      </c>
    </row>
    <row r="101" spans="2:21" x14ac:dyDescent="0.3">
      <c r="B101" s="14">
        <v>10</v>
      </c>
      <c r="C101" s="27" t="str">
        <f t="shared" si="85"/>
        <v/>
      </c>
      <c r="D101" t="s">
        <v>32</v>
      </c>
      <c r="E101" s="48" t="str">
        <f t="shared" si="79"/>
        <v>FB</v>
      </c>
      <c r="F101" s="36">
        <f>ROUND((H90*F100^2+E90)^0.5,0)</f>
        <v>251</v>
      </c>
      <c r="G101" s="48" t="str">
        <f t="shared" si="80"/>
        <v>D7</v>
      </c>
      <c r="H101" s="36">
        <f>ROUND((H90*H100^2+E90)^0.5,0)</f>
        <v>215</v>
      </c>
      <c r="I101" s="48" t="str">
        <f t="shared" si="81"/>
        <v>C8</v>
      </c>
      <c r="J101" s="36">
        <f>ROUND((H90*J100^2+E90)^0.5,0)</f>
        <v>200</v>
      </c>
      <c r="K101" s="36"/>
      <c r="M101" s="14">
        <v>10</v>
      </c>
      <c r="N101" s="73" t="str">
        <f t="shared" si="86"/>
        <v/>
      </c>
      <c r="O101" t="s">
        <v>75</v>
      </c>
      <c r="P101" s="48" t="str">
        <f t="shared" si="82"/>
        <v>DF</v>
      </c>
      <c r="Q101" s="36">
        <f>ROUND((S90*Q100^2+P90)^0.5,0)</f>
        <v>223</v>
      </c>
      <c r="R101" s="48" t="str">
        <f t="shared" si="83"/>
        <v>E7</v>
      </c>
      <c r="S101" s="36">
        <f>ROUND((S90*S100^2+P90)^0.5,0)</f>
        <v>231</v>
      </c>
      <c r="T101" s="48" t="str">
        <f t="shared" si="84"/>
        <v>F1</v>
      </c>
      <c r="U101" s="36">
        <f>ROUND((S90*U100^2+P90)^0.5,0)</f>
        <v>241</v>
      </c>
    </row>
    <row r="102" spans="2:21" x14ac:dyDescent="0.3">
      <c r="B102" s="14">
        <v>11</v>
      </c>
      <c r="C102" s="28" t="str">
        <f t="shared" si="85"/>
        <v/>
      </c>
      <c r="D102" t="s">
        <v>33</v>
      </c>
      <c r="E102" s="48" t="str">
        <f t="shared" si="79"/>
        <v>FB</v>
      </c>
      <c r="F102" s="36">
        <f>ROUND((H90*F101^2+E90)^0.5,0)</f>
        <v>251</v>
      </c>
      <c r="G102" s="48" t="str">
        <f t="shared" si="80"/>
        <v>DB</v>
      </c>
      <c r="H102" s="36">
        <f>ROUND((H90*H101^2+E90)^0.5,0)</f>
        <v>219</v>
      </c>
      <c r="I102" s="48" t="str">
        <f t="shared" si="81"/>
        <v>CE</v>
      </c>
      <c r="J102" s="36">
        <f>ROUND((H90*J101^2+E90)^0.5,0)</f>
        <v>206</v>
      </c>
      <c r="K102" s="36"/>
      <c r="M102" s="14">
        <v>11</v>
      </c>
      <c r="N102" s="75" t="str">
        <f t="shared" si="86"/>
        <v/>
      </c>
      <c r="O102" t="s">
        <v>77</v>
      </c>
      <c r="P102" s="48" t="str">
        <f t="shared" si="82"/>
        <v>E4</v>
      </c>
      <c r="Q102" s="36">
        <f>ROUND((S90*Q101^2+P90)^0.5,0)</f>
        <v>228</v>
      </c>
      <c r="R102" s="48" t="str">
        <f t="shared" si="83"/>
        <v>EB</v>
      </c>
      <c r="S102" s="36">
        <f>ROUND((S90*S101^2+P90)^0.5,0)</f>
        <v>235</v>
      </c>
      <c r="T102" s="48" t="str">
        <f t="shared" si="84"/>
        <v>F3</v>
      </c>
      <c r="U102" s="36">
        <f>ROUND((S90*U101^2+P90)^0.5,0)</f>
        <v>243</v>
      </c>
    </row>
    <row r="103" spans="2:21" x14ac:dyDescent="0.3">
      <c r="B103" s="14">
        <v>12</v>
      </c>
      <c r="C103" s="16" t="str">
        <f t="shared" si="85"/>
        <v/>
      </c>
      <c r="D103" t="s">
        <v>21</v>
      </c>
      <c r="E103" s="48" t="str">
        <f t="shared" si="79"/>
        <v>FB</v>
      </c>
      <c r="F103" s="36">
        <f>ROUND((H90*F102^2+E90)^0.5,0)</f>
        <v>251</v>
      </c>
      <c r="G103" s="48" t="str">
        <f t="shared" si="80"/>
        <v>DF</v>
      </c>
      <c r="H103" s="36">
        <f>ROUND((H90*H102^2+E90)^0.5,0)</f>
        <v>223</v>
      </c>
      <c r="I103" s="48" t="str">
        <f t="shared" si="81"/>
        <v>D3</v>
      </c>
      <c r="J103" s="36">
        <f>ROUND((H90*J102^2+E90)^0.5,0)</f>
        <v>211</v>
      </c>
      <c r="K103" s="36"/>
      <c r="M103" s="14">
        <v>12</v>
      </c>
      <c r="N103" s="74" t="str">
        <f t="shared" si="86"/>
        <v/>
      </c>
      <c r="O103" t="s">
        <v>76</v>
      </c>
      <c r="P103" s="48" t="str">
        <f t="shared" si="82"/>
        <v>E8</v>
      </c>
      <c r="Q103" s="36">
        <f>ROUND((S90*Q102^2+P90)^0.5,0)</f>
        <v>232</v>
      </c>
      <c r="R103" s="48" t="str">
        <f t="shared" si="83"/>
        <v>EE</v>
      </c>
      <c r="S103" s="36">
        <f>ROUND((S90*S102^2+P90)^0.5,0)</f>
        <v>238</v>
      </c>
      <c r="T103" s="48" t="str">
        <f t="shared" si="84"/>
        <v>F5</v>
      </c>
      <c r="U103" s="36">
        <f>ROUND((S90*U102^2+P90)^0.5,0)</f>
        <v>245</v>
      </c>
    </row>
    <row r="104" spans="2:21" x14ac:dyDescent="0.3">
      <c r="B104" s="14">
        <v>13</v>
      </c>
      <c r="C104" s="29" t="str">
        <f>SetIt(C104, E104, G104, I104, "#" &amp; _xlfn.CONCAT(E104,G104,I104))</f>
        <v/>
      </c>
      <c r="D104" t="s">
        <v>34</v>
      </c>
      <c r="E104" s="48" t="str">
        <f t="shared" si="79"/>
        <v>FB</v>
      </c>
      <c r="F104" s="36">
        <f>ROUND((H90*F103^2+E90)^0.5,0)</f>
        <v>251</v>
      </c>
      <c r="G104" s="48" t="str">
        <f t="shared" si="80"/>
        <v>E2</v>
      </c>
      <c r="H104" s="36">
        <f>ROUND((H90*H103^2+E90)^0.5,0)</f>
        <v>226</v>
      </c>
      <c r="I104" s="48" t="str">
        <f t="shared" si="81"/>
        <v>D8</v>
      </c>
      <c r="J104" s="36">
        <f>ROUND((H90*J103^2+E90)^0.5,0)</f>
        <v>216</v>
      </c>
      <c r="K104" s="36"/>
      <c r="M104" s="14">
        <v>13</v>
      </c>
      <c r="N104" s="77" t="str">
        <f t="shared" si="86"/>
        <v/>
      </c>
      <c r="O104" t="s">
        <v>79</v>
      </c>
      <c r="P104" s="48" t="str">
        <f t="shared" si="82"/>
        <v>EC</v>
      </c>
      <c r="Q104" s="36">
        <f>ROUND((S90*Q103^2+P90)^0.5,0)</f>
        <v>236</v>
      </c>
      <c r="R104" s="48" t="str">
        <f t="shared" si="83"/>
        <v>F1</v>
      </c>
      <c r="S104" s="36">
        <f>ROUND((S90*S103^2+P90)^0.5,0)</f>
        <v>241</v>
      </c>
      <c r="T104" s="48" t="str">
        <f t="shared" si="84"/>
        <v>F7</v>
      </c>
      <c r="U104" s="36">
        <f>ROUND((S90*U103^2+P90)^0.5,0)</f>
        <v>247</v>
      </c>
    </row>
    <row r="105" spans="2:21" x14ac:dyDescent="0.3">
      <c r="B105" s="14">
        <v>14</v>
      </c>
      <c r="C105" s="30" t="str">
        <f>SetIt(C105, E105, G105, I105, "#" &amp; _xlfn.CONCAT(E105,G105,I105))</f>
        <v/>
      </c>
      <c r="D105" t="s">
        <v>35</v>
      </c>
      <c r="E105" s="48" t="str">
        <f t="shared" si="79"/>
        <v>FB</v>
      </c>
      <c r="F105" s="36">
        <f>ROUND((H90*F104^2+E90)^0.5,0)</f>
        <v>251</v>
      </c>
      <c r="G105" s="48" t="str">
        <f t="shared" si="80"/>
        <v>E5</v>
      </c>
      <c r="H105" s="36">
        <f>ROUND((H90*H104^2+E90)^0.5,0)</f>
        <v>229</v>
      </c>
      <c r="I105" s="48" t="str">
        <f t="shared" si="81"/>
        <v>DC</v>
      </c>
      <c r="J105" s="36">
        <f>ROUND((H90*J104^2+E90)^0.5,0)</f>
        <v>220</v>
      </c>
      <c r="K105" s="36"/>
      <c r="M105" s="14">
        <v>14</v>
      </c>
      <c r="N105" s="76" t="str">
        <f t="shared" si="86"/>
        <v/>
      </c>
      <c r="O105" t="s">
        <v>78</v>
      </c>
      <c r="P105" s="48" t="str">
        <f t="shared" si="82"/>
        <v>EF</v>
      </c>
      <c r="Q105" s="36">
        <f>ROUND((S90*Q104^2+P90)^0.5,0)</f>
        <v>239</v>
      </c>
      <c r="R105" s="48" t="str">
        <f t="shared" si="83"/>
        <v>F3</v>
      </c>
      <c r="S105" s="36">
        <f>ROUND((S90*S104^2+P90)^0.5,0)</f>
        <v>243</v>
      </c>
      <c r="T105" s="48" t="str">
        <f t="shared" si="84"/>
        <v>F8</v>
      </c>
      <c r="U105" s="36">
        <f>ROUND((S90*U104^2+P90)^0.5,0)</f>
        <v>248</v>
      </c>
    </row>
    <row r="106" spans="2:21" x14ac:dyDescent="0.3">
      <c r="B106" s="14">
        <v>15</v>
      </c>
      <c r="C106" s="32" t="str">
        <f>SetIt(C106, E106, G106, I106, "#" &amp; _xlfn.CONCAT(E106,G106,I106))</f>
        <v/>
      </c>
      <c r="D106" t="s">
        <v>37</v>
      </c>
      <c r="E106" s="48" t="str">
        <f t="shared" si="79"/>
        <v>FB</v>
      </c>
      <c r="F106" s="36">
        <f>ROUND((H90*F105^2+E90)^0.5,0)</f>
        <v>251</v>
      </c>
      <c r="G106" s="48" t="str">
        <f t="shared" si="80"/>
        <v>E8</v>
      </c>
      <c r="H106" s="36">
        <f>ROUND((H90*H105^2+E90)^0.5,0)</f>
        <v>232</v>
      </c>
      <c r="I106" s="48" t="str">
        <f t="shared" si="81"/>
        <v>E0</v>
      </c>
      <c r="J106" s="36">
        <f>ROUND((H90*J105^2+E90)^0.5,0)</f>
        <v>224</v>
      </c>
      <c r="K106" s="36"/>
      <c r="M106" s="14">
        <v>15</v>
      </c>
      <c r="N106" s="78" t="str">
        <f t="shared" si="86"/>
        <v/>
      </c>
      <c r="O106" t="s">
        <v>80</v>
      </c>
      <c r="P106" s="48" t="str">
        <f t="shared" si="82"/>
        <v>F1</v>
      </c>
      <c r="Q106" s="36">
        <f>ROUND((S90*Q105^2+P90)^0.5,0)</f>
        <v>241</v>
      </c>
      <c r="R106" s="48" t="str">
        <f t="shared" si="83"/>
        <v>F5</v>
      </c>
      <c r="S106" s="36">
        <f>ROUND((S90*S105^2+P90)^0.5,0)</f>
        <v>245</v>
      </c>
      <c r="T106" s="48" t="str">
        <f t="shared" si="84"/>
        <v>F9</v>
      </c>
      <c r="U106" s="36">
        <f>ROUND((S90*U105^2+P90)^0.5,0)</f>
        <v>249</v>
      </c>
    </row>
    <row r="107" spans="2:21" x14ac:dyDescent="0.3">
      <c r="B107" s="14">
        <v>16</v>
      </c>
      <c r="C107" s="31" t="str">
        <f>SetIt(C107, E107, G107, I107, "#" &amp; _xlfn.CONCAT(E107,G107,I107))</f>
        <v/>
      </c>
      <c r="D107" t="s">
        <v>36</v>
      </c>
      <c r="E107" s="48" t="str">
        <f t="shared" si="79"/>
        <v>FB</v>
      </c>
      <c r="F107" s="36">
        <f>ROUND((H90*F106^2+E90)^0.5,0)</f>
        <v>251</v>
      </c>
      <c r="G107" s="48" t="str">
        <f t="shared" si="80"/>
        <v>EA</v>
      </c>
      <c r="H107" s="36">
        <f>ROUND((H90*H106^2+E90)^0.5,0)</f>
        <v>234</v>
      </c>
      <c r="I107" s="48" t="str">
        <f t="shared" si="81"/>
        <v>E3</v>
      </c>
      <c r="J107" s="36">
        <f>ROUND((H90*J106^2+E90)^0.5,0)</f>
        <v>227</v>
      </c>
      <c r="K107" s="36"/>
      <c r="M107" s="14">
        <v>16</v>
      </c>
      <c r="N107" s="79" t="str">
        <f t="shared" si="86"/>
        <v/>
      </c>
      <c r="O107" t="s">
        <v>81</v>
      </c>
      <c r="P107" s="48" t="str">
        <f t="shared" si="82"/>
        <v>F3</v>
      </c>
      <c r="Q107" s="36">
        <f>ROUND((S90*Q106^2+P90)^0.5,0)</f>
        <v>243</v>
      </c>
      <c r="R107" s="48" t="str">
        <f t="shared" si="83"/>
        <v>F7</v>
      </c>
      <c r="S107" s="36">
        <f>ROUND((S90*S106^2+P90)^0.5,0)</f>
        <v>247</v>
      </c>
      <c r="T107" s="48" t="str">
        <f t="shared" si="84"/>
        <v>FA</v>
      </c>
      <c r="U107" s="36">
        <f>ROUND((S90*U106^2+P90)^0.5,0)</f>
        <v>250</v>
      </c>
    </row>
    <row r="113" spans="1:23" x14ac:dyDescent="0.3">
      <c r="A113" t="s">
        <v>18</v>
      </c>
      <c r="E113" s="13" t="s">
        <v>0</v>
      </c>
      <c r="G113" s="13" t="s">
        <v>1</v>
      </c>
      <c r="I113" s="13" t="s">
        <v>2</v>
      </c>
      <c r="L113" t="s">
        <v>3</v>
      </c>
      <c r="M113" t="s">
        <v>6</v>
      </c>
      <c r="N113" t="s">
        <v>4</v>
      </c>
      <c r="O113" t="s">
        <v>5</v>
      </c>
    </row>
    <row r="114" spans="1:23" x14ac:dyDescent="0.3">
      <c r="A114" t="s">
        <v>106</v>
      </c>
      <c r="B114" s="14">
        <v>1</v>
      </c>
      <c r="C114" s="17" t="str">
        <f>SetIt(C114, E114, G114, I114, "#" &amp; _xlfn.CONCAT(E114,G114,I114))</f>
        <v/>
      </c>
      <c r="D114" t="s">
        <v>22</v>
      </c>
      <c r="E114" s="48" t="str">
        <f>IF(F114&lt;16,"0","")&amp;DEC2HEX(F114)</f>
        <v>F4</v>
      </c>
      <c r="F114" s="36">
        <v>244</v>
      </c>
      <c r="G114" s="48" t="str">
        <f>IF(H114&lt;16,"0","")&amp;DEC2HEX(H114)</f>
        <v>80</v>
      </c>
      <c r="H114" s="36">
        <v>128</v>
      </c>
      <c r="I114" s="48" t="str">
        <f>IF(J114&lt;16,"0","")&amp;DEC2HEX(J114)</f>
        <v>00</v>
      </c>
      <c r="J114" s="36">
        <v>0</v>
      </c>
      <c r="V114" s="34">
        <v>0.06</v>
      </c>
      <c r="W114" s="34">
        <v>-0.06</v>
      </c>
    </row>
    <row r="115" spans="1:23" x14ac:dyDescent="0.3">
      <c r="A115" t="s">
        <v>107</v>
      </c>
      <c r="B115" s="14">
        <v>2</v>
      </c>
      <c r="C115" s="108" t="str">
        <f>SetIt(C115, E115, G115, I115, "#" &amp; _xlfn.CONCAT(E115,G115,I115))</f>
        <v/>
      </c>
      <c r="D115" t="s">
        <v>108</v>
      </c>
      <c r="E115" s="48" t="str">
        <f>IF(F115&lt;16,"0","")&amp;DEC2HEX(F115)</f>
        <v>F5</v>
      </c>
      <c r="F115" s="36">
        <f>ROUND((O115*F114^2+N115)^0.5,0)</f>
        <v>245</v>
      </c>
      <c r="G115" s="48" t="str">
        <f>IF(H115&lt;16,"0","")&amp;DEC2HEX(H115)</f>
        <v>8E</v>
      </c>
      <c r="H115" s="36">
        <f>ROUND((O115*H114^2+N115)^0.5,0)</f>
        <v>142</v>
      </c>
      <c r="I115" s="48" t="str">
        <f>IF(J115&lt;16,"0","")&amp;DEC2HEX(J115)</f>
        <v>48</v>
      </c>
      <c r="J115" s="36">
        <f>ROUND((O115*J114^2+N115)^0.5,0)</f>
        <v>72</v>
      </c>
      <c r="L115" s="34">
        <v>0.08</v>
      </c>
      <c r="M115" t="b">
        <f>(L115&lt;0)</f>
        <v>0</v>
      </c>
      <c r="N115" s="1">
        <f>IF(M115,0,L115*255^2)</f>
        <v>5202</v>
      </c>
      <c r="O115" s="1">
        <f>IF(M115,1+L115,1-L115)</f>
        <v>0.92</v>
      </c>
      <c r="P115" s="1"/>
      <c r="R115" s="1"/>
      <c r="S115" s="1"/>
      <c r="V115" s="34">
        <v>0.08</v>
      </c>
      <c r="W115" s="34">
        <v>-0.08</v>
      </c>
    </row>
    <row r="116" spans="1:23" x14ac:dyDescent="0.3">
      <c r="B116" s="14">
        <v>3</v>
      </c>
      <c r="C116" s="109" t="str">
        <f>SetIt(C116, E116, G116, I116, "#" &amp; _xlfn.CONCAT(E116,G116,I116))</f>
        <v/>
      </c>
      <c r="D116" t="s">
        <v>109</v>
      </c>
      <c r="E116" s="48" t="str">
        <f t="shared" ref="E116:E129" si="87">IF(F116&lt;16,"0","")&amp;DEC2HEX(F116)</f>
        <v>F6</v>
      </c>
      <c r="F116" s="36">
        <f t="shared" ref="F116:F129" si="88">ROUND((O116*F115^2+N116)^0.5,0)</f>
        <v>246</v>
      </c>
      <c r="G116" s="48" t="str">
        <f t="shared" ref="G116:G129" si="89">IF(H116&lt;16,"0","")&amp;DEC2HEX(H116)</f>
        <v>A3</v>
      </c>
      <c r="H116" s="36">
        <f t="shared" ref="H116:H129" si="90">ROUND((O116*H115^2+N116)^0.5,0)</f>
        <v>163</v>
      </c>
      <c r="I116" s="48" t="str">
        <f t="shared" ref="I116:I129" si="91">IF(J116&lt;16,"0","")&amp;DEC2HEX(J116)</f>
        <v>74</v>
      </c>
      <c r="J116" s="36">
        <f t="shared" ref="J116:J129" si="92">ROUND((O116*J115^2+N116)^0.5,0)</f>
        <v>116</v>
      </c>
      <c r="L116" s="34">
        <v>0.14000000000000001</v>
      </c>
      <c r="M116" t="b">
        <f>(L116&lt;0)</f>
        <v>0</v>
      </c>
      <c r="N116" s="1">
        <f>IF(M116,0,L116*255^2)</f>
        <v>9103.5</v>
      </c>
      <c r="O116" s="1">
        <f>IF(M116,1+L116,1-L116)</f>
        <v>0.86</v>
      </c>
      <c r="V116" s="34">
        <f>V115+V$114</f>
        <v>0.14000000000000001</v>
      </c>
      <c r="W116" s="34">
        <f>W115+W$114</f>
        <v>-0.14000000000000001</v>
      </c>
    </row>
    <row r="117" spans="1:23" x14ac:dyDescent="0.3">
      <c r="B117" s="14">
        <v>4</v>
      </c>
      <c r="C117" s="110" t="str">
        <f t="shared" ref="C117:C129" si="93">SetIt(C117, E117, G117, I117, "#" &amp; _xlfn.CONCAT(E117,G117,I117))</f>
        <v/>
      </c>
      <c r="D117" t="s">
        <v>110</v>
      </c>
      <c r="E117" s="48" t="str">
        <f t="shared" si="87"/>
        <v>F8</v>
      </c>
      <c r="F117" s="36">
        <f t="shared" si="88"/>
        <v>248</v>
      </c>
      <c r="G117" s="48" t="str">
        <f t="shared" si="89"/>
        <v>B9</v>
      </c>
      <c r="H117" s="36">
        <f t="shared" si="90"/>
        <v>185</v>
      </c>
      <c r="I117" s="48" t="str">
        <f t="shared" si="91"/>
        <v>9A</v>
      </c>
      <c r="J117" s="36">
        <f t="shared" si="92"/>
        <v>154</v>
      </c>
      <c r="L117" s="34">
        <v>0.2</v>
      </c>
      <c r="M117" t="b">
        <f t="shared" ref="M117:M129" si="94">(L117&lt;0)</f>
        <v>0</v>
      </c>
      <c r="N117" s="1">
        <f t="shared" ref="N117:N129" si="95">IF(M117,0,L117*255^2)</f>
        <v>13005</v>
      </c>
      <c r="O117" s="1">
        <f t="shared" ref="O117:O129" si="96">IF(M117,1+L117,1-L117)</f>
        <v>0.8</v>
      </c>
      <c r="V117" s="34">
        <f>V116+V$114</f>
        <v>0.2</v>
      </c>
      <c r="W117" s="34">
        <f t="shared" ref="W117:W129" si="97">W116+W$114</f>
        <v>-0.2</v>
      </c>
    </row>
    <row r="118" spans="1:23" x14ac:dyDescent="0.3">
      <c r="B118" s="14">
        <v>5</v>
      </c>
      <c r="C118" s="18" t="str">
        <f t="shared" si="93"/>
        <v/>
      </c>
      <c r="D118" t="s">
        <v>23</v>
      </c>
      <c r="E118" s="48" t="str">
        <f t="shared" si="87"/>
        <v>FA</v>
      </c>
      <c r="F118" s="36">
        <f t="shared" si="88"/>
        <v>250</v>
      </c>
      <c r="G118" s="48" t="str">
        <f t="shared" si="89"/>
        <v>CE</v>
      </c>
      <c r="H118" s="36">
        <f t="shared" si="90"/>
        <v>206</v>
      </c>
      <c r="I118" s="48" t="str">
        <f t="shared" si="91"/>
        <v>BA</v>
      </c>
      <c r="J118" s="36">
        <f t="shared" si="92"/>
        <v>186</v>
      </c>
      <c r="L118" s="34">
        <v>0.26</v>
      </c>
      <c r="M118" t="b">
        <f t="shared" si="94"/>
        <v>0</v>
      </c>
      <c r="N118" s="1">
        <f t="shared" si="95"/>
        <v>16906.5</v>
      </c>
      <c r="O118" s="1">
        <f t="shared" si="96"/>
        <v>0.74</v>
      </c>
      <c r="V118" s="34">
        <f>V117+V$114</f>
        <v>0.26</v>
      </c>
      <c r="W118" s="34">
        <f t="shared" si="97"/>
        <v>-0.26</v>
      </c>
    </row>
    <row r="119" spans="1:23" x14ac:dyDescent="0.3">
      <c r="B119" s="14">
        <v>6</v>
      </c>
      <c r="C119" s="112" t="str">
        <f t="shared" si="93"/>
        <v/>
      </c>
      <c r="D119" t="s">
        <v>112</v>
      </c>
      <c r="E119" s="48" t="str">
        <f t="shared" si="87"/>
        <v>FC</v>
      </c>
      <c r="F119" s="36">
        <f t="shared" si="88"/>
        <v>252</v>
      </c>
      <c r="G119" s="48" t="str">
        <f t="shared" si="89"/>
        <v>DF</v>
      </c>
      <c r="H119" s="36">
        <f t="shared" si="90"/>
        <v>223</v>
      </c>
      <c r="I119" s="48" t="str">
        <f t="shared" si="91"/>
        <v>D3</v>
      </c>
      <c r="J119" s="36">
        <f t="shared" si="92"/>
        <v>211</v>
      </c>
      <c r="L119" s="34">
        <v>0.32</v>
      </c>
      <c r="M119" t="b">
        <f t="shared" si="94"/>
        <v>0</v>
      </c>
      <c r="N119" s="1">
        <f t="shared" si="95"/>
        <v>20808</v>
      </c>
      <c r="O119" s="1">
        <f t="shared" si="96"/>
        <v>0.67999999999999994</v>
      </c>
      <c r="V119" s="34">
        <f>V118+V$114</f>
        <v>0.32</v>
      </c>
      <c r="W119" s="34">
        <f t="shared" si="97"/>
        <v>-0.32</v>
      </c>
    </row>
    <row r="120" spans="1:23" x14ac:dyDescent="0.3">
      <c r="B120" s="14">
        <v>7</v>
      </c>
      <c r="C120" s="111" t="str">
        <f t="shared" si="93"/>
        <v/>
      </c>
      <c r="D120" t="s">
        <v>111</v>
      </c>
      <c r="E120" s="48" t="str">
        <f t="shared" si="87"/>
        <v>FD</v>
      </c>
      <c r="F120" s="36">
        <f t="shared" si="88"/>
        <v>253</v>
      </c>
      <c r="G120" s="48" t="str">
        <f t="shared" si="89"/>
        <v>EC</v>
      </c>
      <c r="H120" s="36">
        <f t="shared" si="90"/>
        <v>236</v>
      </c>
      <c r="I120" s="48" t="str">
        <f t="shared" si="91"/>
        <v>E5</v>
      </c>
      <c r="J120" s="36">
        <f t="shared" si="92"/>
        <v>229</v>
      </c>
      <c r="L120" s="34">
        <v>0.38</v>
      </c>
      <c r="M120" t="b">
        <f t="shared" si="94"/>
        <v>0</v>
      </c>
      <c r="N120" s="1">
        <f t="shared" si="95"/>
        <v>24709.5</v>
      </c>
      <c r="O120" s="1">
        <f t="shared" si="96"/>
        <v>0.62</v>
      </c>
      <c r="V120" s="34">
        <f>V119+V$114</f>
        <v>0.38</v>
      </c>
      <c r="W120" s="34">
        <f t="shared" si="97"/>
        <v>-0.38</v>
      </c>
    </row>
    <row r="121" spans="1:23" x14ac:dyDescent="0.3">
      <c r="B121" s="14">
        <v>8</v>
      </c>
      <c r="C121" s="113" t="str">
        <f t="shared" si="93"/>
        <v/>
      </c>
      <c r="D121" t="s">
        <v>113</v>
      </c>
      <c r="E121" s="48" t="str">
        <f t="shared" si="87"/>
        <v>FE</v>
      </c>
      <c r="F121" s="36">
        <f t="shared" si="88"/>
        <v>254</v>
      </c>
      <c r="G121" s="48" t="str">
        <f t="shared" si="89"/>
        <v>F5</v>
      </c>
      <c r="H121" s="36">
        <f t="shared" si="90"/>
        <v>245</v>
      </c>
      <c r="I121" s="48" t="str">
        <f t="shared" si="91"/>
        <v>F1</v>
      </c>
      <c r="J121" s="36">
        <f t="shared" si="92"/>
        <v>241</v>
      </c>
      <c r="L121" s="34">
        <v>0.44</v>
      </c>
      <c r="M121" t="b">
        <f t="shared" si="94"/>
        <v>0</v>
      </c>
      <c r="N121" s="1">
        <f t="shared" si="95"/>
        <v>28611</v>
      </c>
      <c r="O121" s="1">
        <f t="shared" si="96"/>
        <v>0.56000000000000005</v>
      </c>
      <c r="V121" s="34">
        <f>V120+V$114</f>
        <v>0.44</v>
      </c>
      <c r="W121" s="34">
        <f t="shared" si="97"/>
        <v>-0.44</v>
      </c>
    </row>
    <row r="122" spans="1:23" x14ac:dyDescent="0.3">
      <c r="B122" s="14">
        <v>9</v>
      </c>
      <c r="C122" s="114" t="str">
        <f t="shared" si="93"/>
        <v/>
      </c>
      <c r="D122" t="s">
        <v>114</v>
      </c>
      <c r="E122" s="48" t="str">
        <f t="shared" si="87"/>
        <v>FF</v>
      </c>
      <c r="F122" s="36">
        <f t="shared" si="88"/>
        <v>255</v>
      </c>
      <c r="G122" s="48" t="str">
        <f t="shared" si="89"/>
        <v>FA</v>
      </c>
      <c r="H122" s="36">
        <f t="shared" si="90"/>
        <v>250</v>
      </c>
      <c r="I122" s="48" t="str">
        <f t="shared" si="91"/>
        <v>F8</v>
      </c>
      <c r="J122" s="36">
        <f t="shared" si="92"/>
        <v>248</v>
      </c>
      <c r="L122" s="34">
        <v>0.5</v>
      </c>
      <c r="M122" t="b">
        <f t="shared" si="94"/>
        <v>0</v>
      </c>
      <c r="N122" s="1">
        <f t="shared" si="95"/>
        <v>32512.5</v>
      </c>
      <c r="O122" s="1">
        <f t="shared" si="96"/>
        <v>0.5</v>
      </c>
      <c r="V122" s="34">
        <f>V121+V$114</f>
        <v>0.5</v>
      </c>
      <c r="W122" s="34">
        <f t="shared" si="97"/>
        <v>-0.5</v>
      </c>
    </row>
    <row r="123" spans="1:23" x14ac:dyDescent="0.3">
      <c r="B123" s="14">
        <v>10</v>
      </c>
      <c r="C123" s="115" t="str">
        <f t="shared" si="93"/>
        <v/>
      </c>
      <c r="D123" t="s">
        <v>115</v>
      </c>
      <c r="E123" s="48" t="str">
        <f t="shared" si="87"/>
        <v>FF</v>
      </c>
      <c r="F123" s="36">
        <f t="shared" si="88"/>
        <v>255</v>
      </c>
      <c r="G123" s="48" t="str">
        <f t="shared" si="89"/>
        <v>FD</v>
      </c>
      <c r="H123" s="36">
        <f t="shared" si="90"/>
        <v>253</v>
      </c>
      <c r="I123" s="48" t="str">
        <f t="shared" si="91"/>
        <v>FC</v>
      </c>
      <c r="J123" s="36">
        <f t="shared" si="92"/>
        <v>252</v>
      </c>
      <c r="L123" s="34">
        <v>0.56000000000000005</v>
      </c>
      <c r="M123" t="b">
        <f t="shared" si="94"/>
        <v>0</v>
      </c>
      <c r="N123" s="1">
        <f t="shared" si="95"/>
        <v>36414</v>
      </c>
      <c r="O123" s="1">
        <f t="shared" si="96"/>
        <v>0.43999999999999995</v>
      </c>
      <c r="V123" s="34">
        <f>V122+V$114</f>
        <v>0.56000000000000005</v>
      </c>
      <c r="W123" s="34">
        <f t="shared" si="97"/>
        <v>-0.56000000000000005</v>
      </c>
    </row>
    <row r="124" spans="1:23" x14ac:dyDescent="0.3">
      <c r="B124" s="14">
        <v>11</v>
      </c>
      <c r="C124" s="116" t="str">
        <f t="shared" si="93"/>
        <v/>
      </c>
      <c r="D124" t="s">
        <v>116</v>
      </c>
      <c r="E124" s="48" t="str">
        <f t="shared" si="87"/>
        <v>FF</v>
      </c>
      <c r="F124" s="36">
        <f t="shared" si="88"/>
        <v>255</v>
      </c>
      <c r="G124" s="48" t="str">
        <f t="shared" si="89"/>
        <v>FE</v>
      </c>
      <c r="H124" s="36">
        <f t="shared" si="90"/>
        <v>254</v>
      </c>
      <c r="I124" s="48" t="str">
        <f t="shared" si="91"/>
        <v>FE</v>
      </c>
      <c r="J124" s="36">
        <f t="shared" si="92"/>
        <v>254</v>
      </c>
      <c r="L124" s="34">
        <v>0.62000000000000011</v>
      </c>
      <c r="M124" t="b">
        <f t="shared" si="94"/>
        <v>0</v>
      </c>
      <c r="N124" s="1">
        <f t="shared" si="95"/>
        <v>40315.500000000007</v>
      </c>
      <c r="O124" s="1">
        <f t="shared" si="96"/>
        <v>0.37999999999999989</v>
      </c>
      <c r="V124" s="34">
        <f>V123+V$114</f>
        <v>0.62000000000000011</v>
      </c>
      <c r="W124" s="34">
        <f t="shared" si="97"/>
        <v>-0.62000000000000011</v>
      </c>
    </row>
    <row r="125" spans="1:23" x14ac:dyDescent="0.3">
      <c r="B125" s="14">
        <v>12</v>
      </c>
      <c r="C125" s="90" t="str">
        <f t="shared" si="93"/>
        <v/>
      </c>
      <c r="D125" t="s">
        <v>93</v>
      </c>
      <c r="E125" s="48" t="str">
        <f t="shared" si="87"/>
        <v>FF</v>
      </c>
      <c r="F125" s="36">
        <f t="shared" si="88"/>
        <v>255</v>
      </c>
      <c r="G125" s="48" t="str">
        <f t="shared" si="89"/>
        <v>FF</v>
      </c>
      <c r="H125" s="36">
        <f t="shared" si="90"/>
        <v>255</v>
      </c>
      <c r="I125" s="48" t="str">
        <f t="shared" si="91"/>
        <v>FF</v>
      </c>
      <c r="J125" s="36">
        <f t="shared" si="92"/>
        <v>255</v>
      </c>
      <c r="L125" s="34">
        <v>0.68000000000000016</v>
      </c>
      <c r="M125" t="b">
        <f t="shared" si="94"/>
        <v>0</v>
      </c>
      <c r="N125" s="1">
        <f t="shared" si="95"/>
        <v>44217.000000000007</v>
      </c>
      <c r="O125" s="1">
        <f t="shared" si="96"/>
        <v>0.31999999999999984</v>
      </c>
      <c r="V125" s="34">
        <f>V124+V$114</f>
        <v>0.68000000000000016</v>
      </c>
      <c r="W125" s="34">
        <f t="shared" si="97"/>
        <v>-0.68000000000000016</v>
      </c>
    </row>
    <row r="126" spans="1:23" x14ac:dyDescent="0.3">
      <c r="B126" s="14">
        <v>13</v>
      </c>
      <c r="C126" s="90" t="str">
        <f t="shared" si="93"/>
        <v/>
      </c>
      <c r="D126" t="s">
        <v>93</v>
      </c>
      <c r="E126" s="48" t="str">
        <f t="shared" si="87"/>
        <v>FF</v>
      </c>
      <c r="F126" s="36">
        <f t="shared" si="88"/>
        <v>255</v>
      </c>
      <c r="G126" s="48" t="str">
        <f t="shared" si="89"/>
        <v>FF</v>
      </c>
      <c r="H126" s="36">
        <f t="shared" si="90"/>
        <v>255</v>
      </c>
      <c r="I126" s="48" t="str">
        <f t="shared" si="91"/>
        <v>FF</v>
      </c>
      <c r="J126" s="36">
        <f t="shared" si="92"/>
        <v>255</v>
      </c>
      <c r="L126" s="34">
        <v>0.74000000000000021</v>
      </c>
      <c r="M126" t="b">
        <f t="shared" si="94"/>
        <v>0</v>
      </c>
      <c r="N126" s="1">
        <f t="shared" si="95"/>
        <v>48118.500000000015</v>
      </c>
      <c r="O126" s="1">
        <f t="shared" si="96"/>
        <v>0.25999999999999979</v>
      </c>
      <c r="V126" s="34">
        <f>V125+V$114</f>
        <v>0.74000000000000021</v>
      </c>
      <c r="W126" s="34">
        <f t="shared" si="97"/>
        <v>-0.74000000000000021</v>
      </c>
    </row>
    <row r="127" spans="1:23" x14ac:dyDescent="0.3">
      <c r="B127" s="14">
        <v>14</v>
      </c>
      <c r="C127" s="90" t="str">
        <f t="shared" si="93"/>
        <v/>
      </c>
      <c r="D127" t="s">
        <v>93</v>
      </c>
      <c r="E127" s="48" t="str">
        <f t="shared" si="87"/>
        <v>FF</v>
      </c>
      <c r="F127" s="36">
        <f t="shared" si="88"/>
        <v>255</v>
      </c>
      <c r="G127" s="48" t="str">
        <f t="shared" si="89"/>
        <v>FF</v>
      </c>
      <c r="H127" s="36">
        <f t="shared" si="90"/>
        <v>255</v>
      </c>
      <c r="I127" s="48" t="str">
        <f t="shared" si="91"/>
        <v>FF</v>
      </c>
      <c r="J127" s="36">
        <f t="shared" si="92"/>
        <v>255</v>
      </c>
      <c r="L127" s="34">
        <v>0.80000000000000027</v>
      </c>
      <c r="M127" t="b">
        <f t="shared" si="94"/>
        <v>0</v>
      </c>
      <c r="N127" s="1">
        <f t="shared" si="95"/>
        <v>52020.000000000015</v>
      </c>
      <c r="O127" s="1">
        <f t="shared" si="96"/>
        <v>0.19999999999999973</v>
      </c>
      <c r="V127" s="34">
        <f>V126+V$114</f>
        <v>0.80000000000000027</v>
      </c>
      <c r="W127" s="34">
        <f t="shared" si="97"/>
        <v>-0.80000000000000027</v>
      </c>
    </row>
    <row r="128" spans="1:23" x14ac:dyDescent="0.3">
      <c r="B128" s="14">
        <v>15</v>
      </c>
      <c r="C128" s="90" t="str">
        <f t="shared" si="93"/>
        <v/>
      </c>
      <c r="D128" t="s">
        <v>93</v>
      </c>
      <c r="E128" s="48" t="str">
        <f t="shared" si="87"/>
        <v>FF</v>
      </c>
      <c r="F128" s="36">
        <f t="shared" si="88"/>
        <v>255</v>
      </c>
      <c r="G128" s="48" t="str">
        <f t="shared" si="89"/>
        <v>FF</v>
      </c>
      <c r="H128" s="36">
        <f t="shared" si="90"/>
        <v>255</v>
      </c>
      <c r="I128" s="48" t="str">
        <f t="shared" si="91"/>
        <v>FF</v>
      </c>
      <c r="J128" s="36">
        <f t="shared" si="92"/>
        <v>255</v>
      </c>
      <c r="L128" s="34">
        <v>0.86000000000000032</v>
      </c>
      <c r="M128" t="b">
        <f t="shared" si="94"/>
        <v>0</v>
      </c>
      <c r="N128" s="1">
        <f t="shared" si="95"/>
        <v>55921.500000000022</v>
      </c>
      <c r="O128" s="1">
        <f t="shared" si="96"/>
        <v>0.13999999999999968</v>
      </c>
      <c r="V128" s="34">
        <f>V127+V$114</f>
        <v>0.86000000000000032</v>
      </c>
      <c r="W128" s="34">
        <f t="shared" si="97"/>
        <v>-0.86000000000000032</v>
      </c>
    </row>
    <row r="129" spans="2:23" x14ac:dyDescent="0.3">
      <c r="B129" s="14">
        <v>16</v>
      </c>
      <c r="C129" s="90" t="str">
        <f t="shared" si="93"/>
        <v/>
      </c>
      <c r="D129" t="s">
        <v>93</v>
      </c>
      <c r="E129" s="48" t="str">
        <f t="shared" si="87"/>
        <v>FF</v>
      </c>
      <c r="F129" s="36">
        <f t="shared" si="88"/>
        <v>255</v>
      </c>
      <c r="G129" s="48" t="str">
        <f t="shared" si="89"/>
        <v>FF</v>
      </c>
      <c r="H129" s="36">
        <f t="shared" si="90"/>
        <v>255</v>
      </c>
      <c r="I129" s="48" t="str">
        <f t="shared" si="91"/>
        <v>FF</v>
      </c>
      <c r="J129" s="36">
        <f t="shared" si="92"/>
        <v>255</v>
      </c>
      <c r="L129" s="34">
        <v>0.92000000000000037</v>
      </c>
      <c r="M129" t="b">
        <f t="shared" si="94"/>
        <v>0</v>
      </c>
      <c r="N129" s="1">
        <f t="shared" si="95"/>
        <v>59823.000000000022</v>
      </c>
      <c r="O129" s="1">
        <f t="shared" si="96"/>
        <v>7.9999999999999627E-2</v>
      </c>
      <c r="V129" s="34">
        <f>V128+V$114</f>
        <v>0.92000000000000037</v>
      </c>
      <c r="W129" s="34">
        <f t="shared" si="97"/>
        <v>-0.92000000000000037</v>
      </c>
    </row>
  </sheetData>
  <mergeCells count="20">
    <mergeCell ref="E90:G90"/>
    <mergeCell ref="H76:J76"/>
    <mergeCell ref="E76:G76"/>
    <mergeCell ref="H90:J90"/>
    <mergeCell ref="E37:F37"/>
    <mergeCell ref="E38:F38"/>
    <mergeCell ref="G37:H37"/>
    <mergeCell ref="G38:H38"/>
    <mergeCell ref="I37:J37"/>
    <mergeCell ref="I38:J38"/>
    <mergeCell ref="P37:Q37"/>
    <mergeCell ref="R37:S37"/>
    <mergeCell ref="T37:U37"/>
    <mergeCell ref="R38:S38"/>
    <mergeCell ref="T38:U38"/>
    <mergeCell ref="P76:R76"/>
    <mergeCell ref="S76:U76"/>
    <mergeCell ref="P90:R90"/>
    <mergeCell ref="S90:U90"/>
    <mergeCell ref="P38:Q38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Color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Stuyvesant</dc:creator>
  <cp:lastModifiedBy>Jeff Stuyvesant</cp:lastModifiedBy>
  <dcterms:created xsi:type="dcterms:W3CDTF">2019-04-22T04:55:29Z</dcterms:created>
  <dcterms:modified xsi:type="dcterms:W3CDTF">2019-05-19T17:32:01Z</dcterms:modified>
</cp:coreProperties>
</file>