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Programming\VisualStudioProjects\WpfApp1-ListControlTest\WpfApp1-ListControlTest\"/>
    </mc:Choice>
  </mc:AlternateContent>
  <xr:revisionPtr revIDLastSave="0" documentId="13_ncr:1_{08566EA9-92B9-4BB2-BC47-29848D003AC8}" xr6:coauthVersionLast="43" xr6:coauthVersionMax="43" xr10:uidLastSave="{00000000-0000-0000-0000-000000000000}"/>
  <bookViews>
    <workbookView xWindow="1680" yWindow="312" windowWidth="41952" windowHeight="23940" tabRatio="159" xr2:uid="{65D212B0-7C72-4F4B-A07B-11D2AF225BE5}"/>
  </bookViews>
  <sheets>
    <sheet name="Standard Colors" sheetId="1" r:id="rId1"/>
    <sheet name="Color Formul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9" i="1" l="1"/>
  <c r="J18" i="1"/>
  <c r="J17" i="1"/>
  <c r="J16" i="1"/>
  <c r="O15" i="1"/>
  <c r="N15" i="1"/>
  <c r="M15" i="1"/>
  <c r="F15" i="1"/>
  <c r="G15" i="1"/>
  <c r="E15" i="1"/>
  <c r="C37" i="1"/>
  <c r="C29" i="1"/>
  <c r="R14" i="1" l="1"/>
  <c r="R13" i="1"/>
  <c r="R12" i="1"/>
  <c r="R11" i="1"/>
  <c r="R10" i="1"/>
  <c r="R9" i="1"/>
  <c r="R8" i="1"/>
  <c r="R7" i="1"/>
  <c r="R6" i="1"/>
  <c r="R5" i="1"/>
  <c r="R4" i="1"/>
  <c r="R3" i="1"/>
  <c r="R2" i="1"/>
  <c r="W1" i="1"/>
  <c r="V1" i="1"/>
  <c r="U1" i="1"/>
  <c r="O1" i="1"/>
  <c r="N1" i="1"/>
  <c r="M1" i="1"/>
  <c r="R39" i="1"/>
  <c r="R38" i="1"/>
  <c r="R37" i="1"/>
  <c r="R36" i="1"/>
  <c r="W35" i="1"/>
  <c r="V35" i="1"/>
  <c r="U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W21" i="1"/>
  <c r="V21" i="1"/>
  <c r="U21" i="1"/>
  <c r="O21" i="1"/>
  <c r="N21" i="1"/>
  <c r="M21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R56" i="1"/>
  <c r="J56" i="1"/>
  <c r="R59" i="1"/>
  <c r="R58" i="1"/>
  <c r="R57" i="1"/>
  <c r="J59" i="1"/>
  <c r="J58" i="1"/>
  <c r="J57" i="1"/>
  <c r="W55" i="1"/>
  <c r="V55" i="1"/>
  <c r="U55" i="1"/>
  <c r="O55" i="1"/>
  <c r="N55" i="1"/>
  <c r="M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W41" i="1"/>
  <c r="V41" i="1"/>
  <c r="U41" i="1"/>
  <c r="O41" i="1"/>
  <c r="N41" i="1"/>
  <c r="M41" i="1"/>
  <c r="G41" i="1"/>
  <c r="F41" i="1"/>
  <c r="E41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G180" i="1"/>
  <c r="F180" i="1"/>
  <c r="E180" i="1"/>
  <c r="E165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W165" i="1"/>
  <c r="V165" i="1"/>
  <c r="U165" i="1"/>
  <c r="O165" i="1"/>
  <c r="N165" i="1"/>
  <c r="M165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G165" i="1"/>
  <c r="F165" i="1"/>
  <c r="J160" i="1"/>
  <c r="B160" i="1"/>
  <c r="J163" i="1"/>
  <c r="J162" i="1"/>
  <c r="J161" i="1"/>
  <c r="B163" i="1"/>
  <c r="B162" i="1"/>
  <c r="B161" i="1"/>
  <c r="O159" i="1"/>
  <c r="N159" i="1"/>
  <c r="M159" i="1"/>
  <c r="G159" i="1"/>
  <c r="F159" i="1"/>
  <c r="E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E145" i="1"/>
  <c r="O145" i="1"/>
  <c r="N145" i="1"/>
  <c r="M145" i="1"/>
  <c r="G145" i="1"/>
  <c r="F145" i="1"/>
  <c r="J142" i="1"/>
  <c r="J143" i="1"/>
  <c r="O139" i="1"/>
  <c r="N139" i="1"/>
  <c r="M139" i="1"/>
  <c r="J141" i="1"/>
  <c r="J140" i="1"/>
  <c r="B143" i="1"/>
  <c r="B142" i="1"/>
  <c r="B141" i="1"/>
  <c r="B140" i="1"/>
  <c r="R123" i="1"/>
  <c r="R122" i="1"/>
  <c r="R121" i="1"/>
  <c r="R120" i="1"/>
  <c r="J123" i="1"/>
  <c r="J122" i="1"/>
  <c r="J121" i="1"/>
  <c r="J120" i="1"/>
  <c r="B123" i="1"/>
  <c r="B122" i="1"/>
  <c r="B121" i="1"/>
  <c r="B120" i="1"/>
  <c r="E139" i="1"/>
  <c r="G139" i="1"/>
  <c r="F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M125" i="1"/>
  <c r="O125" i="1"/>
  <c r="N125" i="1"/>
  <c r="E125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G125" i="1"/>
  <c r="F125" i="1"/>
  <c r="M119" i="1"/>
  <c r="O119" i="1"/>
  <c r="N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O105" i="1"/>
  <c r="N105" i="1"/>
  <c r="M105" i="1"/>
  <c r="U119" i="1"/>
  <c r="G119" i="1"/>
  <c r="F119" i="1"/>
  <c r="E119" i="1"/>
  <c r="W119" i="1"/>
  <c r="V119" i="1"/>
  <c r="E105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G105" i="1"/>
  <c r="F105" i="1"/>
  <c r="U97" i="1"/>
  <c r="W97" i="1"/>
  <c r="V97" i="1"/>
  <c r="V105" i="1"/>
  <c r="W105" i="1"/>
  <c r="U105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W83" i="1"/>
  <c r="V83" i="1"/>
  <c r="U83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S14" i="1"/>
  <c r="S2" i="1"/>
  <c r="S4" i="1"/>
  <c r="S12" i="1"/>
  <c r="S5" i="1"/>
  <c r="S13" i="1"/>
  <c r="S6" i="1"/>
  <c r="S7" i="1"/>
  <c r="S11" i="1"/>
  <c r="S8" i="1"/>
  <c r="S9" i="1"/>
  <c r="S10" i="1"/>
  <c r="S34" i="1"/>
  <c r="S22" i="1"/>
  <c r="K22" i="1"/>
  <c r="K34" i="1"/>
  <c r="S24" i="1"/>
  <c r="S32" i="1"/>
  <c r="S25" i="1"/>
  <c r="S33" i="1"/>
  <c r="S26" i="1"/>
  <c r="S27" i="1"/>
  <c r="S28" i="1"/>
  <c r="S29" i="1"/>
  <c r="S30" i="1"/>
  <c r="S31" i="1"/>
  <c r="K24" i="1"/>
  <c r="K32" i="1"/>
  <c r="K25" i="1"/>
  <c r="K33" i="1"/>
  <c r="K26" i="1"/>
  <c r="K31" i="1"/>
  <c r="K27" i="1"/>
  <c r="K30" i="1"/>
  <c r="K28" i="1"/>
  <c r="K29" i="1"/>
  <c r="K12" i="1"/>
  <c r="K13" i="1"/>
  <c r="K14" i="1"/>
  <c r="S53" i="1"/>
  <c r="S54" i="1"/>
  <c r="S42" i="1"/>
  <c r="K53" i="1"/>
  <c r="K54" i="1"/>
  <c r="K42" i="1"/>
  <c r="C53" i="1"/>
  <c r="C54" i="1"/>
  <c r="C42" i="1"/>
  <c r="C193" i="1"/>
  <c r="C189" i="1"/>
  <c r="C185" i="1"/>
  <c r="C181" i="1"/>
  <c r="C188" i="1"/>
  <c r="C192" i="1"/>
  <c r="C184" i="1"/>
  <c r="C182" i="1"/>
  <c r="C191" i="1"/>
  <c r="C187" i="1"/>
  <c r="C183" i="1"/>
  <c r="C190" i="1"/>
  <c r="C186" i="1"/>
  <c r="S177" i="1"/>
  <c r="S178" i="1"/>
  <c r="S166" i="1"/>
  <c r="C166" i="1"/>
  <c r="C176" i="1"/>
  <c r="C168" i="1"/>
  <c r="C171" i="1"/>
  <c r="C175" i="1"/>
  <c r="C167" i="1"/>
  <c r="C169" i="1"/>
  <c r="C174" i="1"/>
  <c r="C173" i="1"/>
  <c r="C170" i="1"/>
  <c r="C172" i="1"/>
  <c r="K157" i="1"/>
  <c r="K158" i="1"/>
  <c r="K146" i="1"/>
  <c r="C157" i="1"/>
  <c r="C158" i="1"/>
  <c r="C146" i="1"/>
  <c r="K137" i="1"/>
  <c r="K138" i="1"/>
  <c r="K126" i="1"/>
  <c r="C127" i="1"/>
  <c r="C135" i="1"/>
  <c r="C136" i="1"/>
  <c r="C133" i="1"/>
  <c r="C128" i="1"/>
  <c r="C129" i="1"/>
  <c r="C137" i="1"/>
  <c r="C138" i="1"/>
  <c r="C130" i="1"/>
  <c r="C131" i="1"/>
  <c r="C132" i="1"/>
  <c r="C134" i="1"/>
  <c r="C126" i="1"/>
  <c r="K117" i="1"/>
  <c r="K118" i="1"/>
  <c r="K106" i="1"/>
  <c r="C117" i="1"/>
  <c r="C118" i="1"/>
  <c r="C106" i="1"/>
  <c r="S98" i="1"/>
  <c r="S115" i="1"/>
  <c r="S116" i="1"/>
  <c r="S117" i="1"/>
  <c r="S118" i="1"/>
  <c r="S106" i="1"/>
  <c r="S96" i="1"/>
  <c r="S90" i="1"/>
  <c r="S84" i="1"/>
  <c r="C100" i="1"/>
  <c r="C101" i="1"/>
  <c r="C102" i="1"/>
  <c r="C103" i="1"/>
  <c r="F97" i="1"/>
  <c r="G97" i="1"/>
  <c r="E97" i="1"/>
  <c r="O97" i="1"/>
  <c r="N97" i="1"/>
  <c r="M97" i="1"/>
  <c r="W75" i="1"/>
  <c r="V75" i="1"/>
  <c r="U75" i="1"/>
  <c r="M75" i="1"/>
  <c r="W80" i="1"/>
  <c r="V80" i="1"/>
  <c r="U80" i="1"/>
  <c r="G83" i="1"/>
  <c r="F83" i="1"/>
  <c r="E83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O83" i="1"/>
  <c r="N83" i="1"/>
  <c r="M83" i="1"/>
  <c r="O75" i="1"/>
  <c r="N75" i="1"/>
  <c r="F75" i="1"/>
  <c r="G75" i="1"/>
  <c r="E75" i="1"/>
  <c r="G61" i="1"/>
  <c r="F61" i="1"/>
  <c r="E61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W61" i="1"/>
  <c r="V61" i="1"/>
  <c r="U61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N61" i="1"/>
  <c r="O61" i="1"/>
  <c r="M61" i="1"/>
  <c r="C99" i="1"/>
  <c r="K99" i="1"/>
  <c r="K100" i="1"/>
  <c r="K101" i="1"/>
  <c r="C90" i="1"/>
  <c r="C96" i="1"/>
  <c r="C84" i="1"/>
  <c r="K102" i="1"/>
  <c r="K62" i="1"/>
  <c r="C74" i="1"/>
  <c r="C68" i="1"/>
  <c r="C62" i="1"/>
  <c r="S74" i="1"/>
  <c r="S68" i="1"/>
  <c r="S62" i="1"/>
  <c r="K74" i="1"/>
  <c r="K68" i="1"/>
  <c r="K96" i="1"/>
  <c r="K90" i="1"/>
  <c r="K177" i="1"/>
  <c r="K170" i="1"/>
  <c r="K175" i="1"/>
  <c r="K167" i="1"/>
  <c r="K173" i="1"/>
  <c r="K178" i="1"/>
  <c r="K168" i="1"/>
  <c r="K169" i="1"/>
  <c r="K166" i="1"/>
  <c r="K174" i="1"/>
  <c r="K176" i="1"/>
  <c r="K171" i="1"/>
  <c r="K172" i="1"/>
  <c r="AA13" i="2" l="1"/>
  <c r="AH14" i="2"/>
  <c r="AH15" i="2" s="1"/>
  <c r="AH16" i="2" s="1"/>
  <c r="AH17" i="2" s="1"/>
  <c r="AH18" i="2" s="1"/>
  <c r="AH19" i="2" s="1"/>
  <c r="AH12" i="2"/>
  <c r="AH11" i="2" s="1"/>
  <c r="AH10" i="2" s="1"/>
  <c r="AH9" i="2" s="1"/>
  <c r="AH8" i="2" s="1"/>
  <c r="AH7" i="2" s="1"/>
  <c r="AE13" i="2"/>
  <c r="AC13" i="2"/>
  <c r="M85" i="2"/>
  <c r="N85" i="2" s="1"/>
  <c r="M86" i="2"/>
  <c r="O86" i="2" s="1"/>
  <c r="M87" i="2"/>
  <c r="N87" i="2" s="1"/>
  <c r="M88" i="2"/>
  <c r="N88" i="2" s="1"/>
  <c r="M89" i="2"/>
  <c r="N89" i="2" s="1"/>
  <c r="M90" i="2"/>
  <c r="O90" i="2" s="1"/>
  <c r="M91" i="2"/>
  <c r="N91" i="2" s="1"/>
  <c r="M92" i="2"/>
  <c r="N92" i="2" s="1"/>
  <c r="M93" i="2"/>
  <c r="N93" i="2" s="1"/>
  <c r="M94" i="2"/>
  <c r="O94" i="2" s="1"/>
  <c r="M95" i="2"/>
  <c r="N95" i="2" s="1"/>
  <c r="O95" i="2"/>
  <c r="M96" i="2"/>
  <c r="N96" i="2" s="1"/>
  <c r="M97" i="2"/>
  <c r="N97" i="2" s="1"/>
  <c r="M84" i="2"/>
  <c r="N84" i="2" s="1"/>
  <c r="W85" i="2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84" i="2"/>
  <c r="V84" i="2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I82" i="2"/>
  <c r="G82" i="2"/>
  <c r="E82" i="2"/>
  <c r="M83" i="2"/>
  <c r="N83" i="2" s="1"/>
  <c r="M37" i="2"/>
  <c r="O37" i="2" s="1"/>
  <c r="M29" i="2"/>
  <c r="O29" i="2" s="1"/>
  <c r="M30" i="2"/>
  <c r="N30" i="2" s="1"/>
  <c r="M31" i="2"/>
  <c r="N31" i="2" s="1"/>
  <c r="M32" i="2"/>
  <c r="N32" i="2" s="1"/>
  <c r="M33" i="2"/>
  <c r="N33" i="2" s="1"/>
  <c r="M34" i="2"/>
  <c r="N34" i="2" s="1"/>
  <c r="M35" i="2"/>
  <c r="N35" i="2" s="1"/>
  <c r="M36" i="2"/>
  <c r="O36" i="2" s="1"/>
  <c r="I27" i="2"/>
  <c r="G27" i="2"/>
  <c r="E27" i="2"/>
  <c r="M28" i="2"/>
  <c r="O28" i="2" s="1"/>
  <c r="T60" i="2"/>
  <c r="R60" i="2"/>
  <c r="P60" i="2"/>
  <c r="O58" i="2"/>
  <c r="S58" i="2" s="1"/>
  <c r="T46" i="2"/>
  <c r="R46" i="2"/>
  <c r="P46" i="2"/>
  <c r="O44" i="2"/>
  <c r="S44" i="2" s="1"/>
  <c r="T13" i="2"/>
  <c r="R13" i="2"/>
  <c r="P13" i="2"/>
  <c r="P6" i="2"/>
  <c r="T6" i="2" s="1"/>
  <c r="P5" i="2"/>
  <c r="T5" i="2" s="1"/>
  <c r="I5" i="2"/>
  <c r="J12" i="2" s="1"/>
  <c r="J11" i="2" s="1"/>
  <c r="J10" i="2" s="1"/>
  <c r="J9" i="2" s="1"/>
  <c r="J8" i="2" s="1"/>
  <c r="J7" i="2" s="1"/>
  <c r="G5" i="2"/>
  <c r="E5" i="2"/>
  <c r="E6" i="2"/>
  <c r="G6" i="2" s="1"/>
  <c r="E46" i="2"/>
  <c r="G46" i="2"/>
  <c r="I46" i="2"/>
  <c r="E60" i="2"/>
  <c r="G60" i="2"/>
  <c r="I60" i="2"/>
  <c r="D58" i="2"/>
  <c r="E58" i="2" s="1"/>
  <c r="D44" i="2"/>
  <c r="E44" i="2" s="1"/>
  <c r="Y13" i="2"/>
  <c r="C82" i="2"/>
  <c r="C27" i="2"/>
  <c r="N60" i="2"/>
  <c r="N46" i="2"/>
  <c r="N13" i="2"/>
  <c r="C60" i="2"/>
  <c r="C46" i="2"/>
  <c r="AI14" i="2" l="1"/>
  <c r="AK14" i="2" s="1"/>
  <c r="AI12" i="2"/>
  <c r="AI15" i="2"/>
  <c r="AK15" i="2" s="1"/>
  <c r="AI7" i="2"/>
  <c r="AJ7" i="2" s="1"/>
  <c r="AI10" i="2"/>
  <c r="AJ10" i="2" s="1"/>
  <c r="AI8" i="2"/>
  <c r="AI11" i="2"/>
  <c r="AI9" i="2"/>
  <c r="N94" i="2"/>
  <c r="O88" i="2"/>
  <c r="O92" i="2"/>
  <c r="O96" i="2"/>
  <c r="O84" i="2"/>
  <c r="O91" i="2"/>
  <c r="O87" i="2"/>
  <c r="N90" i="2"/>
  <c r="N86" i="2"/>
  <c r="O97" i="2"/>
  <c r="O89" i="2"/>
  <c r="O93" i="2"/>
  <c r="O85" i="2"/>
  <c r="O83" i="2"/>
  <c r="F83" i="2" s="1"/>
  <c r="F84" i="2" s="1"/>
  <c r="E84" i="2" s="1"/>
  <c r="F12" i="2"/>
  <c r="F11" i="2" s="1"/>
  <c r="F10" i="2" s="1"/>
  <c r="F9" i="2" s="1"/>
  <c r="F8" i="2" s="1"/>
  <c r="F7" i="2" s="1"/>
  <c r="H12" i="2"/>
  <c r="H11" i="2" s="1"/>
  <c r="H10" i="2" s="1"/>
  <c r="H9" i="2" s="1"/>
  <c r="H8" i="2" s="1"/>
  <c r="H7" i="2" s="1"/>
  <c r="N37" i="2"/>
  <c r="F37" i="2" s="1"/>
  <c r="E37" i="2" s="1"/>
  <c r="N36" i="2"/>
  <c r="J36" i="2" s="1"/>
  <c r="I36" i="2" s="1"/>
  <c r="O34" i="2"/>
  <c r="H34" i="2" s="1"/>
  <c r="G34" i="2" s="1"/>
  <c r="O32" i="2"/>
  <c r="J32" i="2" s="1"/>
  <c r="I32" i="2" s="1"/>
  <c r="O33" i="2"/>
  <c r="H33" i="2" s="1"/>
  <c r="G33" i="2" s="1"/>
  <c r="N29" i="2"/>
  <c r="H29" i="2" s="1"/>
  <c r="G29" i="2" s="1"/>
  <c r="O31" i="2"/>
  <c r="H31" i="2" s="1"/>
  <c r="G31" i="2" s="1"/>
  <c r="O35" i="2"/>
  <c r="J35" i="2" s="1"/>
  <c r="I35" i="2" s="1"/>
  <c r="O30" i="2"/>
  <c r="N28" i="2"/>
  <c r="J28" i="2" s="1"/>
  <c r="P58" i="2"/>
  <c r="S61" i="2" s="1"/>
  <c r="P44" i="2"/>
  <c r="U47" i="2" s="1"/>
  <c r="R5" i="2"/>
  <c r="S12" i="2" s="1"/>
  <c r="R6" i="2"/>
  <c r="S14" i="2" s="1"/>
  <c r="E13" i="2"/>
  <c r="I13" i="2"/>
  <c r="G13" i="2"/>
  <c r="I6" i="2"/>
  <c r="H58" i="2"/>
  <c r="H44" i="2"/>
  <c r="C13" i="2"/>
  <c r="S109" i="1"/>
  <c r="S108" i="1"/>
  <c r="C77" i="1"/>
  <c r="S110" i="1"/>
  <c r="S169" i="1"/>
  <c r="S122" i="1"/>
  <c r="S173" i="1"/>
  <c r="C151" i="1"/>
  <c r="C148" i="1"/>
  <c r="K58" i="1"/>
  <c r="K140" i="1"/>
  <c r="K152" i="1"/>
  <c r="K108" i="1"/>
  <c r="K17" i="1"/>
  <c r="K129" i="1"/>
  <c r="K77" i="1"/>
  <c r="C163" i="1"/>
  <c r="C161" i="1"/>
  <c r="C109" i="1"/>
  <c r="K136" i="1"/>
  <c r="C115" i="1"/>
  <c r="C123" i="1"/>
  <c r="K154" i="1"/>
  <c r="K133" i="1"/>
  <c r="C121" i="1"/>
  <c r="K153" i="1"/>
  <c r="K116" i="1"/>
  <c r="K160" i="1"/>
  <c r="K148" i="1"/>
  <c r="C142" i="1"/>
  <c r="K156" i="1"/>
  <c r="C78" i="1"/>
  <c r="S170" i="1"/>
  <c r="C160" i="1"/>
  <c r="C107" i="1"/>
  <c r="S111" i="1"/>
  <c r="C79" i="1"/>
  <c r="S114" i="1"/>
  <c r="S120" i="1"/>
  <c r="S79" i="1"/>
  <c r="S123" i="1"/>
  <c r="K128" i="1"/>
  <c r="S167" i="1"/>
  <c r="K107" i="1"/>
  <c r="S107" i="1"/>
  <c r="C143" i="1"/>
  <c r="C114" i="1"/>
  <c r="K135" i="1"/>
  <c r="K112" i="1"/>
  <c r="C98" i="1"/>
  <c r="K122" i="1"/>
  <c r="K150" i="1"/>
  <c r="S175" i="1"/>
  <c r="K78" i="1"/>
  <c r="C76" i="1"/>
  <c r="C178" i="1"/>
  <c r="S112" i="1"/>
  <c r="C147" i="1"/>
  <c r="C152" i="1"/>
  <c r="K57" i="1"/>
  <c r="S168" i="1"/>
  <c r="K162" i="1"/>
  <c r="S174" i="1"/>
  <c r="C177" i="1"/>
  <c r="K161" i="1"/>
  <c r="S176" i="1"/>
  <c r="K110" i="1"/>
  <c r="C149" i="1"/>
  <c r="K143" i="1"/>
  <c r="C141" i="1"/>
  <c r="K163" i="1"/>
  <c r="K123" i="1"/>
  <c r="K155" i="1"/>
  <c r="C112" i="1"/>
  <c r="S121" i="1"/>
  <c r="K98" i="1"/>
  <c r="S78" i="1"/>
  <c r="K111" i="1"/>
  <c r="S172" i="1"/>
  <c r="K79" i="1"/>
  <c r="K120" i="1"/>
  <c r="C153" i="1"/>
  <c r="S77" i="1"/>
  <c r="K127" i="1"/>
  <c r="C154" i="1"/>
  <c r="C120" i="1"/>
  <c r="C116" i="1"/>
  <c r="S101" i="1"/>
  <c r="K109" i="1"/>
  <c r="S99" i="1"/>
  <c r="S113" i="1"/>
  <c r="K76" i="1"/>
  <c r="K132" i="1"/>
  <c r="K142" i="1"/>
  <c r="S100" i="1"/>
  <c r="C108" i="1"/>
  <c r="C155" i="1"/>
  <c r="K59" i="1"/>
  <c r="K147" i="1"/>
  <c r="K141" i="1"/>
  <c r="C111" i="1"/>
  <c r="C110" i="1"/>
  <c r="K149" i="1"/>
  <c r="S171" i="1"/>
  <c r="C113" i="1"/>
  <c r="K114" i="1"/>
  <c r="K151" i="1"/>
  <c r="C162" i="1"/>
  <c r="K56" i="1"/>
  <c r="K113" i="1"/>
  <c r="C156" i="1"/>
  <c r="K130" i="1"/>
  <c r="K115" i="1"/>
  <c r="C150" i="1"/>
  <c r="K134" i="1"/>
  <c r="K131" i="1"/>
  <c r="C122" i="1"/>
  <c r="S76" i="1"/>
  <c r="K121" i="1"/>
  <c r="C140" i="1"/>
  <c r="S81" i="1"/>
  <c r="S70" i="1"/>
  <c r="K44" i="1"/>
  <c r="S94" i="1"/>
  <c r="S38" i="1"/>
  <c r="K66" i="1"/>
  <c r="C48" i="1"/>
  <c r="S85" i="1"/>
  <c r="C88" i="1"/>
  <c r="C46" i="1"/>
  <c r="S93" i="1"/>
  <c r="K49" i="1"/>
  <c r="S63" i="1"/>
  <c r="K65" i="1"/>
  <c r="C5" i="1"/>
  <c r="C44" i="1"/>
  <c r="C8" i="1"/>
  <c r="C72" i="1"/>
  <c r="S39" i="1"/>
  <c r="K51" i="1"/>
  <c r="S45" i="1"/>
  <c r="K71" i="1"/>
  <c r="K91" i="1"/>
  <c r="C47" i="1"/>
  <c r="K84" i="1"/>
  <c r="S3" i="1"/>
  <c r="K88" i="1"/>
  <c r="C52" i="1"/>
  <c r="S89" i="1"/>
  <c r="S56" i="1"/>
  <c r="K52" i="1"/>
  <c r="C45" i="1"/>
  <c r="C2" i="1"/>
  <c r="S48" i="1"/>
  <c r="K47" i="1"/>
  <c r="K43" i="1"/>
  <c r="S58" i="1"/>
  <c r="K73" i="1"/>
  <c r="K48" i="1"/>
  <c r="C51" i="1"/>
  <c r="S50" i="1"/>
  <c r="C9" i="1"/>
  <c r="S37" i="1"/>
  <c r="K87" i="1"/>
  <c r="C92" i="1"/>
  <c r="S36" i="1"/>
  <c r="K85" i="1"/>
  <c r="C85" i="1"/>
  <c r="S87" i="1"/>
  <c r="S64" i="1"/>
  <c r="K92" i="1"/>
  <c r="S67" i="1"/>
  <c r="K63" i="1"/>
  <c r="S66" i="1"/>
  <c r="S73" i="1"/>
  <c r="K7" i="1"/>
  <c r="S51" i="1"/>
  <c r="C10" i="1"/>
  <c r="K5" i="1"/>
  <c r="S52" i="1"/>
  <c r="C63" i="1"/>
  <c r="S88" i="1"/>
  <c r="S46" i="1"/>
  <c r="S49" i="1"/>
  <c r="K6" i="1"/>
  <c r="S59" i="1"/>
  <c r="C94" i="1"/>
  <c r="C87" i="1"/>
  <c r="K93" i="1"/>
  <c r="S57" i="1"/>
  <c r="C73" i="1"/>
  <c r="S71" i="1"/>
  <c r="S86" i="1"/>
  <c r="K10" i="1"/>
  <c r="K69" i="1"/>
  <c r="K86" i="1"/>
  <c r="K2" i="1"/>
  <c r="K23" i="1"/>
  <c r="C3" i="1"/>
  <c r="C66" i="1"/>
  <c r="C4" i="1"/>
  <c r="K45" i="1"/>
  <c r="C6" i="1"/>
  <c r="C70" i="1"/>
  <c r="C7" i="1"/>
  <c r="C43" i="1"/>
  <c r="S23" i="1"/>
  <c r="C86" i="1"/>
  <c r="C65" i="1"/>
  <c r="S47" i="1"/>
  <c r="K95" i="1"/>
  <c r="S44" i="1"/>
  <c r="K9" i="1"/>
  <c r="C50" i="1"/>
  <c r="S92" i="1"/>
  <c r="K11" i="1"/>
  <c r="C64" i="1"/>
  <c r="C89" i="1"/>
  <c r="K70" i="1"/>
  <c r="C95" i="1"/>
  <c r="C67" i="1"/>
  <c r="S65" i="1"/>
  <c r="K3" i="1"/>
  <c r="K46" i="1"/>
  <c r="C91" i="1"/>
  <c r="K8" i="1"/>
  <c r="K89" i="1"/>
  <c r="S69" i="1"/>
  <c r="K4" i="1"/>
  <c r="K67" i="1"/>
  <c r="S43" i="1"/>
  <c r="C11" i="1"/>
  <c r="C93" i="1"/>
  <c r="S72" i="1"/>
  <c r="K50" i="1"/>
  <c r="K72" i="1"/>
  <c r="C69" i="1"/>
  <c r="S91" i="1"/>
  <c r="K64" i="1"/>
  <c r="K94" i="1"/>
  <c r="S95" i="1"/>
  <c r="C49" i="1"/>
  <c r="C71" i="1"/>
  <c r="K19" i="1"/>
  <c r="K18" i="1"/>
  <c r="K16" i="1"/>
  <c r="C26" i="1"/>
  <c r="C22" i="1"/>
  <c r="C25" i="1"/>
  <c r="C23" i="1"/>
  <c r="C34" i="1"/>
  <c r="C19" i="1"/>
  <c r="C20" i="1"/>
  <c r="C35" i="1"/>
  <c r="C32" i="1"/>
  <c r="C24" i="1"/>
  <c r="C31" i="1"/>
  <c r="C18" i="1"/>
  <c r="C36" i="1"/>
  <c r="C27" i="1"/>
  <c r="C17" i="1"/>
  <c r="C16" i="1"/>
  <c r="C33" i="1"/>
  <c r="C30" i="1"/>
  <c r="C28" i="1"/>
  <c r="C21" i="1"/>
  <c r="AJ14" i="2" l="1"/>
  <c r="AD14" i="2" s="1"/>
  <c r="AC14" i="2" s="1"/>
  <c r="AK12" i="2"/>
  <c r="AJ12" i="2"/>
  <c r="AJ15" i="2"/>
  <c r="AK7" i="2"/>
  <c r="AK10" i="2"/>
  <c r="AK8" i="2"/>
  <c r="AJ8" i="2"/>
  <c r="AI16" i="2"/>
  <c r="AJ11" i="2"/>
  <c r="AK11" i="2"/>
  <c r="AK9" i="2"/>
  <c r="AJ9" i="2"/>
  <c r="H36" i="2"/>
  <c r="G36" i="2" s="1"/>
  <c r="F36" i="2"/>
  <c r="E36" i="2" s="1"/>
  <c r="F34" i="2"/>
  <c r="E34" i="2" s="1"/>
  <c r="F85" i="2"/>
  <c r="F86" i="2" s="1"/>
  <c r="E83" i="2"/>
  <c r="J83" i="2"/>
  <c r="H83" i="2"/>
  <c r="F14" i="2"/>
  <c r="F15" i="2" s="1"/>
  <c r="F16" i="2" s="1"/>
  <c r="F17" i="2" s="1"/>
  <c r="F18" i="2" s="1"/>
  <c r="F19" i="2" s="1"/>
  <c r="H14" i="2"/>
  <c r="H15" i="2" s="1"/>
  <c r="H16" i="2" s="1"/>
  <c r="H17" i="2" s="1"/>
  <c r="H18" i="2" s="1"/>
  <c r="H19" i="2" s="1"/>
  <c r="J14" i="2"/>
  <c r="J15" i="2" s="1"/>
  <c r="J16" i="2" s="1"/>
  <c r="J17" i="2" s="1"/>
  <c r="J18" i="2" s="1"/>
  <c r="J19" i="2" s="1"/>
  <c r="J47" i="2"/>
  <c r="J48" i="2" s="1"/>
  <c r="J49" i="2" s="1"/>
  <c r="J50" i="2" s="1"/>
  <c r="J51" i="2" s="1"/>
  <c r="J52" i="2" s="1"/>
  <c r="J53" i="2" s="1"/>
  <c r="J54" i="2" s="1"/>
  <c r="J55" i="2" s="1"/>
  <c r="H47" i="2"/>
  <c r="H48" i="2" s="1"/>
  <c r="H49" i="2" s="1"/>
  <c r="H50" i="2" s="1"/>
  <c r="H51" i="2" s="1"/>
  <c r="H52" i="2" s="1"/>
  <c r="H53" i="2" s="1"/>
  <c r="H54" i="2" s="1"/>
  <c r="H55" i="2" s="1"/>
  <c r="F47" i="2"/>
  <c r="F48" i="2" s="1"/>
  <c r="F49" i="2" s="1"/>
  <c r="F50" i="2" s="1"/>
  <c r="F51" i="2" s="1"/>
  <c r="F52" i="2" s="1"/>
  <c r="F53" i="2" s="1"/>
  <c r="F54" i="2" s="1"/>
  <c r="F55" i="2" s="1"/>
  <c r="F61" i="2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J61" i="2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H61" i="2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J34" i="2"/>
  <c r="I34" i="2" s="1"/>
  <c r="J37" i="2"/>
  <c r="I37" i="2" s="1"/>
  <c r="H37" i="2"/>
  <c r="G37" i="2" s="1"/>
  <c r="J31" i="2"/>
  <c r="I31" i="2" s="1"/>
  <c r="F31" i="2"/>
  <c r="E31" i="2" s="1"/>
  <c r="J29" i="2"/>
  <c r="I29" i="2" s="1"/>
  <c r="F29" i="2"/>
  <c r="E29" i="2" s="1"/>
  <c r="H32" i="2"/>
  <c r="G32" i="2" s="1"/>
  <c r="J33" i="2"/>
  <c r="I33" i="2" s="1"/>
  <c r="F33" i="2"/>
  <c r="E33" i="2" s="1"/>
  <c r="F32" i="2"/>
  <c r="E32" i="2" s="1"/>
  <c r="H35" i="2"/>
  <c r="G35" i="2" s="1"/>
  <c r="F35" i="2"/>
  <c r="E35" i="2" s="1"/>
  <c r="J30" i="2"/>
  <c r="I30" i="2" s="1"/>
  <c r="F30" i="2"/>
  <c r="E30" i="2" s="1"/>
  <c r="H30" i="2"/>
  <c r="G30" i="2" s="1"/>
  <c r="H28" i="2"/>
  <c r="F28" i="2"/>
  <c r="I28" i="2"/>
  <c r="Q47" i="2"/>
  <c r="Q48" i="2" s="1"/>
  <c r="R61" i="2"/>
  <c r="S62" i="2"/>
  <c r="U61" i="2"/>
  <c r="Q61" i="2"/>
  <c r="U48" i="2"/>
  <c r="T47" i="2"/>
  <c r="S47" i="2"/>
  <c r="U14" i="2"/>
  <c r="U15" i="2" s="1"/>
  <c r="Q14" i="2"/>
  <c r="R12" i="2"/>
  <c r="S11" i="2"/>
  <c r="U12" i="2"/>
  <c r="Q12" i="2"/>
  <c r="G12" i="2"/>
  <c r="C37" i="2"/>
  <c r="AB14" i="2" l="1"/>
  <c r="AA14" i="2" s="1"/>
  <c r="AF14" i="2"/>
  <c r="AF15" i="2" s="1"/>
  <c r="AD12" i="2"/>
  <c r="AC12" i="2" s="1"/>
  <c r="AF12" i="2"/>
  <c r="AF11" i="2" s="1"/>
  <c r="AF10" i="2" s="1"/>
  <c r="AF9" i="2" s="1"/>
  <c r="AF8" i="2" s="1"/>
  <c r="AF7" i="2" s="1"/>
  <c r="AB12" i="2"/>
  <c r="AA12" i="2" s="1"/>
  <c r="AD15" i="2"/>
  <c r="AC15" i="2" s="1"/>
  <c r="AI17" i="2"/>
  <c r="AK16" i="2"/>
  <c r="AJ16" i="2"/>
  <c r="E85" i="2"/>
  <c r="G83" i="2"/>
  <c r="H84" i="2"/>
  <c r="I83" i="2"/>
  <c r="J84" i="2"/>
  <c r="E86" i="2"/>
  <c r="F87" i="2"/>
  <c r="E61" i="2"/>
  <c r="E28" i="2"/>
  <c r="G28" i="2"/>
  <c r="P61" i="2"/>
  <c r="Q62" i="2"/>
  <c r="T61" i="2"/>
  <c r="U62" i="2"/>
  <c r="R62" i="2"/>
  <c r="S63" i="2"/>
  <c r="P47" i="2"/>
  <c r="S48" i="2"/>
  <c r="R47" i="2"/>
  <c r="U49" i="2"/>
  <c r="T48" i="2"/>
  <c r="T14" i="2"/>
  <c r="U11" i="2"/>
  <c r="T12" i="2"/>
  <c r="S15" i="2"/>
  <c r="R14" i="2"/>
  <c r="Q15" i="2"/>
  <c r="P14" i="2"/>
  <c r="Q11" i="2"/>
  <c r="P12" i="2"/>
  <c r="R11" i="2"/>
  <c r="S10" i="2"/>
  <c r="U16" i="2"/>
  <c r="T15" i="2"/>
  <c r="I11" i="2"/>
  <c r="E12" i="2"/>
  <c r="I9" i="2"/>
  <c r="G47" i="2"/>
  <c r="G14" i="2"/>
  <c r="E14" i="2"/>
  <c r="I14" i="2"/>
  <c r="I47" i="2"/>
  <c r="I12" i="2"/>
  <c r="I10" i="2"/>
  <c r="I7" i="2"/>
  <c r="E11" i="2"/>
  <c r="G11" i="2"/>
  <c r="G61" i="2"/>
  <c r="I61" i="2"/>
  <c r="E47" i="2"/>
  <c r="E62" i="2"/>
  <c r="C83" i="2"/>
  <c r="N47" i="2"/>
  <c r="N12" i="2"/>
  <c r="N14" i="2"/>
  <c r="C12" i="2"/>
  <c r="C14" i="2"/>
  <c r="C11" i="2"/>
  <c r="C61" i="2"/>
  <c r="C47" i="2"/>
  <c r="AB11" i="2" l="1"/>
  <c r="AB10" i="2" s="1"/>
  <c r="AB9" i="2" s="1"/>
  <c r="AB8" i="2" s="1"/>
  <c r="AB7" i="2" s="1"/>
  <c r="AB15" i="2"/>
  <c r="AA15" i="2" s="1"/>
  <c r="AD11" i="2"/>
  <c r="AD10" i="2" s="1"/>
  <c r="AF16" i="2"/>
  <c r="AD16" i="2"/>
  <c r="AK17" i="2"/>
  <c r="AJ17" i="2"/>
  <c r="AI19" i="2"/>
  <c r="AI18" i="2"/>
  <c r="I84" i="2"/>
  <c r="J85" i="2"/>
  <c r="G84" i="2"/>
  <c r="H85" i="2"/>
  <c r="F88" i="2"/>
  <c r="E87" i="2"/>
  <c r="R63" i="2"/>
  <c r="S64" i="2"/>
  <c r="T62" i="2"/>
  <c r="U63" i="2"/>
  <c r="P62" i="2"/>
  <c r="Q63" i="2"/>
  <c r="U50" i="2"/>
  <c r="T49" i="2"/>
  <c r="S49" i="2"/>
  <c r="R48" i="2"/>
  <c r="Q49" i="2"/>
  <c r="P48" i="2"/>
  <c r="S16" i="2"/>
  <c r="R15" i="2"/>
  <c r="Q10" i="2"/>
  <c r="P11" i="2"/>
  <c r="Q16" i="2"/>
  <c r="P15" i="2"/>
  <c r="U17" i="2"/>
  <c r="T16" i="2"/>
  <c r="S9" i="2"/>
  <c r="R10" i="2"/>
  <c r="U10" i="2"/>
  <c r="T11" i="2"/>
  <c r="G15" i="2"/>
  <c r="I15" i="2"/>
  <c r="E15" i="2"/>
  <c r="I8" i="2"/>
  <c r="G10" i="2"/>
  <c r="E10" i="2"/>
  <c r="G62" i="2"/>
  <c r="I62" i="2"/>
  <c r="E48" i="2"/>
  <c r="G48" i="2"/>
  <c r="I48" i="2"/>
  <c r="G63" i="2"/>
  <c r="E63" i="2"/>
  <c r="I63" i="2"/>
  <c r="C84" i="2"/>
  <c r="C28" i="2"/>
  <c r="N62" i="2"/>
  <c r="N61" i="2"/>
  <c r="N48" i="2"/>
  <c r="N11" i="2"/>
  <c r="N15" i="2"/>
  <c r="C15" i="2"/>
  <c r="C10" i="2"/>
  <c r="C62" i="2"/>
  <c r="C48" i="2"/>
  <c r="C63" i="2"/>
  <c r="AC11" i="2" l="1"/>
  <c r="AA11" i="2"/>
  <c r="AB16" i="2"/>
  <c r="AA16" i="2" s="1"/>
  <c r="AF17" i="2"/>
  <c r="AC16" i="2"/>
  <c r="AD17" i="2"/>
  <c r="AJ18" i="2"/>
  <c r="AK18" i="2"/>
  <c r="AJ19" i="2"/>
  <c r="AK19" i="2"/>
  <c r="AC10" i="2"/>
  <c r="AD9" i="2"/>
  <c r="AA10" i="2"/>
  <c r="H86" i="2"/>
  <c r="G85" i="2"/>
  <c r="I85" i="2"/>
  <c r="J86" i="2"/>
  <c r="F89" i="2"/>
  <c r="E88" i="2"/>
  <c r="P63" i="2"/>
  <c r="Q64" i="2"/>
  <c r="R64" i="2"/>
  <c r="S65" i="2"/>
  <c r="T63" i="2"/>
  <c r="U64" i="2"/>
  <c r="P49" i="2"/>
  <c r="Q50" i="2"/>
  <c r="S50" i="2"/>
  <c r="R49" i="2"/>
  <c r="U51" i="2"/>
  <c r="T50" i="2"/>
  <c r="U18" i="2"/>
  <c r="T17" i="2"/>
  <c r="Q17" i="2"/>
  <c r="P16" i="2"/>
  <c r="U9" i="2"/>
  <c r="T10" i="2"/>
  <c r="P10" i="2"/>
  <c r="Q9" i="2"/>
  <c r="S8" i="2"/>
  <c r="R9" i="2"/>
  <c r="S17" i="2"/>
  <c r="R16" i="2"/>
  <c r="G16" i="2"/>
  <c r="E16" i="2"/>
  <c r="I16" i="2"/>
  <c r="G9" i="2"/>
  <c r="E9" i="2"/>
  <c r="E49" i="2"/>
  <c r="I49" i="2"/>
  <c r="G49" i="2"/>
  <c r="I64" i="2"/>
  <c r="E64" i="2"/>
  <c r="G64" i="2"/>
  <c r="C85" i="2"/>
  <c r="C29" i="2"/>
  <c r="N16" i="2"/>
  <c r="N10" i="2"/>
  <c r="C16" i="2"/>
  <c r="C9" i="2"/>
  <c r="C49" i="2"/>
  <c r="C64" i="2"/>
  <c r="AB17" i="2" l="1"/>
  <c r="AA17" i="2" s="1"/>
  <c r="AF18" i="2"/>
  <c r="AF19" i="2" s="1"/>
  <c r="AD18" i="2"/>
  <c r="AC17" i="2"/>
  <c r="AA9" i="2"/>
  <c r="AD8" i="2"/>
  <c r="AC9" i="2"/>
  <c r="I86" i="2"/>
  <c r="J87" i="2"/>
  <c r="G86" i="2"/>
  <c r="H87" i="2"/>
  <c r="F90" i="2"/>
  <c r="E89" i="2"/>
  <c r="T64" i="2"/>
  <c r="U65" i="2"/>
  <c r="R65" i="2"/>
  <c r="S66" i="2"/>
  <c r="P64" i="2"/>
  <c r="Q65" i="2"/>
  <c r="U52" i="2"/>
  <c r="T51" i="2"/>
  <c r="S51" i="2"/>
  <c r="R50" i="2"/>
  <c r="Q51" i="2"/>
  <c r="P50" i="2"/>
  <c r="S18" i="2"/>
  <c r="R17" i="2"/>
  <c r="Q18" i="2"/>
  <c r="P17" i="2"/>
  <c r="P9" i="2"/>
  <c r="Q8" i="2"/>
  <c r="U8" i="2"/>
  <c r="T9" i="2"/>
  <c r="S7" i="2"/>
  <c r="R7" i="2" s="1"/>
  <c r="R8" i="2"/>
  <c r="U19" i="2"/>
  <c r="T19" i="2" s="1"/>
  <c r="T18" i="2"/>
  <c r="I17" i="2"/>
  <c r="E17" i="2"/>
  <c r="G17" i="2"/>
  <c r="G8" i="2"/>
  <c r="G7" i="2"/>
  <c r="E8" i="2"/>
  <c r="E7" i="2"/>
  <c r="E50" i="2"/>
  <c r="G50" i="2"/>
  <c r="I50" i="2"/>
  <c r="E65" i="2"/>
  <c r="G65" i="2"/>
  <c r="I65" i="2"/>
  <c r="C86" i="2"/>
  <c r="C31" i="2"/>
  <c r="C30" i="2"/>
  <c r="N64" i="2"/>
  <c r="N63" i="2"/>
  <c r="N50" i="2"/>
  <c r="N49" i="2"/>
  <c r="N17" i="2"/>
  <c r="N9" i="2"/>
  <c r="C17" i="2"/>
  <c r="C8" i="2"/>
  <c r="C7" i="2"/>
  <c r="C50" i="2"/>
  <c r="C65" i="2"/>
  <c r="AB18" i="2" l="1"/>
  <c r="AB19" i="2" s="1"/>
  <c r="AA19" i="2" s="1"/>
  <c r="AC18" i="2"/>
  <c r="AD19" i="2"/>
  <c r="AC19" i="2" s="1"/>
  <c r="AA7" i="2"/>
  <c r="AA8" i="2"/>
  <c r="AC8" i="2"/>
  <c r="AD7" i="2"/>
  <c r="AC7" i="2" s="1"/>
  <c r="J88" i="2"/>
  <c r="I87" i="2"/>
  <c r="H88" i="2"/>
  <c r="G87" i="2"/>
  <c r="F91" i="2"/>
  <c r="E90" i="2"/>
  <c r="R66" i="2"/>
  <c r="S67" i="2"/>
  <c r="P65" i="2"/>
  <c r="Q66" i="2"/>
  <c r="T65" i="2"/>
  <c r="U66" i="2"/>
  <c r="Q52" i="2"/>
  <c r="P51" i="2"/>
  <c r="R51" i="2"/>
  <c r="S52" i="2"/>
  <c r="U53" i="2"/>
  <c r="T52" i="2"/>
  <c r="U7" i="2"/>
  <c r="T7" i="2" s="1"/>
  <c r="T8" i="2"/>
  <c r="Q7" i="2"/>
  <c r="P7" i="2" s="1"/>
  <c r="P8" i="2"/>
  <c r="P18" i="2"/>
  <c r="Q19" i="2"/>
  <c r="P19" i="2" s="1"/>
  <c r="S19" i="2"/>
  <c r="R19" i="2" s="1"/>
  <c r="R18" i="2"/>
  <c r="E18" i="2"/>
  <c r="E19" i="2"/>
  <c r="I18" i="2"/>
  <c r="I19" i="2"/>
  <c r="G18" i="2"/>
  <c r="G19" i="2"/>
  <c r="E51" i="2"/>
  <c r="I51" i="2"/>
  <c r="G51" i="2"/>
  <c r="I66" i="2"/>
  <c r="G66" i="2"/>
  <c r="E66" i="2"/>
  <c r="C87" i="2"/>
  <c r="N51" i="2"/>
  <c r="N7" i="2"/>
  <c r="N8" i="2"/>
  <c r="C18" i="2"/>
  <c r="C19" i="2"/>
  <c r="C51" i="2"/>
  <c r="C66" i="2"/>
  <c r="AA18" i="2" l="1"/>
  <c r="G88" i="2"/>
  <c r="H89" i="2"/>
  <c r="I88" i="2"/>
  <c r="J89" i="2"/>
  <c r="E91" i="2"/>
  <c r="F92" i="2"/>
  <c r="T66" i="2"/>
  <c r="U67" i="2"/>
  <c r="R67" i="2"/>
  <c r="S68" i="2"/>
  <c r="P66" i="2"/>
  <c r="Q67" i="2"/>
  <c r="S53" i="2"/>
  <c r="R52" i="2"/>
  <c r="U54" i="2"/>
  <c r="U55" i="2" s="1"/>
  <c r="T53" i="2"/>
  <c r="Q53" i="2"/>
  <c r="P52" i="2"/>
  <c r="I52" i="2"/>
  <c r="G52" i="2"/>
  <c r="E52" i="2"/>
  <c r="E67" i="2"/>
  <c r="G67" i="2"/>
  <c r="I67" i="2"/>
  <c r="C88" i="2"/>
  <c r="C32" i="2"/>
  <c r="C33" i="2"/>
  <c r="N65" i="2"/>
  <c r="N66" i="2"/>
  <c r="N52" i="2"/>
  <c r="N18" i="2"/>
  <c r="N19" i="2"/>
  <c r="C52" i="2"/>
  <c r="C67" i="2"/>
  <c r="I89" i="2" l="1"/>
  <c r="J90" i="2"/>
  <c r="G89" i="2"/>
  <c r="H90" i="2"/>
  <c r="F93" i="2"/>
  <c r="E92" i="2"/>
  <c r="T67" i="2"/>
  <c r="U68" i="2"/>
  <c r="P67" i="2"/>
  <c r="Q68" i="2"/>
  <c r="R68" i="2"/>
  <c r="S69" i="2"/>
  <c r="Q54" i="2"/>
  <c r="P53" i="2"/>
  <c r="T55" i="2"/>
  <c r="T54" i="2"/>
  <c r="S54" i="2"/>
  <c r="R53" i="2"/>
  <c r="E53" i="2"/>
  <c r="G53" i="2"/>
  <c r="I53" i="2"/>
  <c r="E68" i="2"/>
  <c r="I68" i="2"/>
  <c r="G68" i="2"/>
  <c r="C89" i="2"/>
  <c r="N67" i="2"/>
  <c r="N53" i="2"/>
  <c r="C53" i="2"/>
  <c r="C68" i="2"/>
  <c r="G90" i="2" l="1"/>
  <c r="H91" i="2"/>
  <c r="J91" i="2"/>
  <c r="I90" i="2"/>
  <c r="F94" i="2"/>
  <c r="E93" i="2"/>
  <c r="T68" i="2"/>
  <c r="U69" i="2"/>
  <c r="R69" i="2"/>
  <c r="S70" i="2"/>
  <c r="P68" i="2"/>
  <c r="Q69" i="2"/>
  <c r="S55" i="2"/>
  <c r="R55" i="2" s="1"/>
  <c r="R54" i="2"/>
  <c r="Q55" i="2"/>
  <c r="P55" i="2" s="1"/>
  <c r="P54" i="2"/>
  <c r="I54" i="2"/>
  <c r="G54" i="2"/>
  <c r="E54" i="2"/>
  <c r="E69" i="2"/>
  <c r="G69" i="2"/>
  <c r="I69" i="2"/>
  <c r="C90" i="2"/>
  <c r="C36" i="2"/>
  <c r="C35" i="2"/>
  <c r="C34" i="2"/>
  <c r="N68" i="2"/>
  <c r="N54" i="2"/>
  <c r="N55" i="2"/>
  <c r="C54" i="2"/>
  <c r="C69" i="2"/>
  <c r="I91" i="2" l="1"/>
  <c r="J92" i="2"/>
  <c r="H92" i="2"/>
  <c r="G91" i="2"/>
  <c r="E94" i="2"/>
  <c r="F95" i="2"/>
  <c r="R70" i="2"/>
  <c r="S71" i="2"/>
  <c r="T69" i="2"/>
  <c r="U70" i="2"/>
  <c r="P69" i="2"/>
  <c r="Q70" i="2"/>
  <c r="I55" i="2"/>
  <c r="E55" i="2"/>
  <c r="G55" i="2"/>
  <c r="I70" i="2"/>
  <c r="G70" i="2"/>
  <c r="E70" i="2"/>
  <c r="C91" i="2"/>
  <c r="N69" i="2"/>
  <c r="C55" i="2"/>
  <c r="C70" i="2"/>
  <c r="H93" i="2" l="1"/>
  <c r="G92" i="2"/>
  <c r="J93" i="2"/>
  <c r="I92" i="2"/>
  <c r="E95" i="2"/>
  <c r="F96" i="2"/>
  <c r="P70" i="2"/>
  <c r="Q71" i="2"/>
  <c r="R71" i="2"/>
  <c r="S72" i="2"/>
  <c r="T70" i="2"/>
  <c r="U71" i="2"/>
  <c r="I71" i="2"/>
  <c r="E71" i="2"/>
  <c r="G71" i="2"/>
  <c r="C92" i="2"/>
  <c r="C71" i="2"/>
  <c r="J94" i="2" l="1"/>
  <c r="I93" i="2"/>
  <c r="G93" i="2"/>
  <c r="H94" i="2"/>
  <c r="F97" i="2"/>
  <c r="E97" i="2" s="1"/>
  <c r="E96" i="2"/>
  <c r="T71" i="2"/>
  <c r="U72" i="2"/>
  <c r="R72" i="2"/>
  <c r="S73" i="2"/>
  <c r="P71" i="2"/>
  <c r="Q72" i="2"/>
  <c r="I72" i="2"/>
  <c r="E72" i="2"/>
  <c r="G72" i="2"/>
  <c r="C93" i="2"/>
  <c r="N71" i="2"/>
  <c r="N70" i="2"/>
  <c r="C72" i="2"/>
  <c r="G94" i="2" l="1"/>
  <c r="H95" i="2"/>
  <c r="J95" i="2"/>
  <c r="I94" i="2"/>
  <c r="P72" i="2"/>
  <c r="Q73" i="2"/>
  <c r="R73" i="2"/>
  <c r="S74" i="2"/>
  <c r="T72" i="2"/>
  <c r="U73" i="2"/>
  <c r="G73" i="2"/>
  <c r="I73" i="2"/>
  <c r="E73" i="2"/>
  <c r="C94" i="2"/>
  <c r="C73" i="2"/>
  <c r="I95" i="2" l="1"/>
  <c r="J96" i="2"/>
  <c r="H96" i="2"/>
  <c r="G95" i="2"/>
  <c r="T73" i="2"/>
  <c r="U74" i="2"/>
  <c r="R74" i="2"/>
  <c r="S75" i="2"/>
  <c r="R75" i="2" s="1"/>
  <c r="P73" i="2"/>
  <c r="Q74" i="2"/>
  <c r="E74" i="2"/>
  <c r="E75" i="2"/>
  <c r="I74" i="2"/>
  <c r="I75" i="2"/>
  <c r="G75" i="2"/>
  <c r="G74" i="2"/>
  <c r="C95" i="2"/>
  <c r="N73" i="2"/>
  <c r="N72" i="2"/>
  <c r="C75" i="2"/>
  <c r="C74" i="2"/>
  <c r="H97" i="2" l="1"/>
  <c r="G97" i="2" s="1"/>
  <c r="G96" i="2"/>
  <c r="J97" i="2"/>
  <c r="I97" i="2" s="1"/>
  <c r="I96" i="2"/>
  <c r="P74" i="2"/>
  <c r="Q75" i="2"/>
  <c r="P75" i="2" s="1"/>
  <c r="T74" i="2"/>
  <c r="U75" i="2"/>
  <c r="T75" i="2" s="1"/>
  <c r="C97" i="2"/>
  <c r="C96" i="2"/>
  <c r="N74" i="2"/>
  <c r="N75" i="2"/>
  <c r="AE12" i="2"/>
  <c r="Y12" i="2"/>
  <c r="AE11" i="2"/>
  <c r="Y11" i="2"/>
  <c r="AE10" i="2" l="1"/>
  <c r="Y10" i="2"/>
  <c r="AE9" i="2" l="1"/>
  <c r="Y9" i="2"/>
  <c r="AE7" i="2" l="1"/>
  <c r="AE8" i="2"/>
  <c r="Y7" i="2"/>
  <c r="Y8" i="2"/>
  <c r="AE14" i="2"/>
  <c r="Y14" i="2"/>
  <c r="AE15" i="2"/>
  <c r="Y15" i="2"/>
  <c r="AE16" i="2" l="1"/>
  <c r="Y16" i="2"/>
  <c r="AE17" i="2" l="1"/>
  <c r="Y17" i="2"/>
  <c r="AE18" i="2" l="1"/>
  <c r="AE19" i="2"/>
  <c r="Y18" i="2"/>
  <c r="Y19" i="2"/>
</calcChain>
</file>

<file path=xl/sharedStrings.xml><?xml version="1.0" encoding="utf-8"?>
<sst xmlns="http://schemas.openxmlformats.org/spreadsheetml/2006/main" count="1969" uniqueCount="900">
  <si>
    <t>BB</t>
  </si>
  <si>
    <t>33</t>
  </si>
  <si>
    <t>34</t>
  </si>
  <si>
    <t>35</t>
  </si>
  <si>
    <t>36</t>
  </si>
  <si>
    <t>37</t>
  </si>
  <si>
    <t>38</t>
  </si>
  <si>
    <t>39</t>
  </si>
  <si>
    <t>true.white</t>
  </si>
  <si>
    <t>true.red</t>
  </si>
  <si>
    <t>true.yellow</t>
  </si>
  <si>
    <t>true.green</t>
  </si>
  <si>
    <t>true.cyan</t>
  </si>
  <si>
    <t>true.blue</t>
  </si>
  <si>
    <t>true.magenta</t>
  </si>
  <si>
    <t>true.orange</t>
  </si>
  <si>
    <t>true.purple</t>
  </si>
  <si>
    <t>true.black</t>
  </si>
  <si>
    <t>ff</t>
  </si>
  <si>
    <t>00</t>
  </si>
  <si>
    <t>50</t>
  </si>
  <si>
    <t>90</t>
  </si>
  <si>
    <t>FF</t>
  </si>
  <si>
    <t>#ffffff</t>
  </si>
  <si>
    <t>#9000ff</t>
  </si>
  <si>
    <t>#0000ff</t>
  </si>
  <si>
    <t>#000000</t>
  </si>
  <si>
    <t>#00ff00</t>
  </si>
  <si>
    <t>#ff0000</t>
  </si>
  <si>
    <t>#ff5000</t>
  </si>
  <si>
    <t>#ff00ff</t>
  </si>
  <si>
    <t>#ffff00</t>
  </si>
  <si>
    <t>#00ffff</t>
  </si>
  <si>
    <t>gray.970</t>
  </si>
  <si>
    <t>gray.950</t>
  </si>
  <si>
    <t>gray.900</t>
  </si>
  <si>
    <t>ee</t>
  </si>
  <si>
    <t>gray.850</t>
  </si>
  <si>
    <t>e0</t>
  </si>
  <si>
    <t>gray.820</t>
  </si>
  <si>
    <t>DD</t>
  </si>
  <si>
    <t>gray.800</t>
  </si>
  <si>
    <t>gray.760</t>
  </si>
  <si>
    <t>gray.730</t>
  </si>
  <si>
    <t>gray.700</t>
  </si>
  <si>
    <t>gray.650</t>
  </si>
  <si>
    <t>gray.600</t>
  </si>
  <si>
    <t>gray.550</t>
  </si>
  <si>
    <t>gray.500</t>
  </si>
  <si>
    <t>gray.440</t>
  </si>
  <si>
    <t>gray.400</t>
  </si>
  <si>
    <t>gray.300</t>
  </si>
  <si>
    <t>gray.220</t>
  </si>
  <si>
    <t>gray.200</t>
  </si>
  <si>
    <t>gray.100</t>
  </si>
  <si>
    <t>gray.050</t>
  </si>
  <si>
    <t>6e</t>
  </si>
  <si>
    <t>#181818</t>
  </si>
  <si>
    <t>#DDDDDD</t>
  </si>
  <si>
    <t>8a</t>
  </si>
  <si>
    <t>E5</t>
  </si>
  <si>
    <t>D5</t>
  </si>
  <si>
    <t>D9</t>
  </si>
  <si>
    <t>AD</t>
  </si>
  <si>
    <t>B7</t>
  </si>
  <si>
    <t>E0</t>
  </si>
  <si>
    <t>DA</t>
  </si>
  <si>
    <t>4A</t>
  </si>
  <si>
    <t>DC</t>
  </si>
  <si>
    <t>3C</t>
  </si>
  <si>
    <t>C3</t>
  </si>
  <si>
    <t>0D</t>
  </si>
  <si>
    <t>97</t>
  </si>
  <si>
    <t>0E</t>
  </si>
  <si>
    <t>2A</t>
  </si>
  <si>
    <t>63</t>
  </si>
  <si>
    <t>1A</t>
  </si>
  <si>
    <t>40</t>
  </si>
  <si>
    <t>20</t>
  </si>
  <si>
    <t>1e</t>
  </si>
  <si>
    <t>88</t>
  </si>
  <si>
    <t>ab</t>
  </si>
  <si>
    <t>FC</t>
  </si>
  <si>
    <t>BE</t>
  </si>
  <si>
    <t>7D</t>
  </si>
  <si>
    <t>FD</t>
  </si>
  <si>
    <t>B0</t>
  </si>
  <si>
    <t>56</t>
  </si>
  <si>
    <t>18</t>
  </si>
  <si>
    <t>fb</t>
  </si>
  <si>
    <t>c4</t>
  </si>
  <si>
    <t>95</t>
  </si>
  <si>
    <t>67</t>
  </si>
  <si>
    <t>51</t>
  </si>
  <si>
    <t>45</t>
  </si>
  <si>
    <t>31</t>
  </si>
  <si>
    <t>7c</t>
  </si>
  <si>
    <t>4d</t>
  </si>
  <si>
    <t>65</t>
  </si>
  <si>
    <t>62</t>
  </si>
  <si>
    <t>da</t>
  </si>
  <si>
    <t>79</t>
  </si>
  <si>
    <t>30</t>
  </si>
  <si>
    <t>28</t>
  </si>
  <si>
    <t>indigo.a400</t>
  </si>
  <si>
    <t>53</t>
  </si>
  <si>
    <t>6d</t>
  </si>
  <si>
    <t>fe</t>
  </si>
  <si>
    <t>dark.blue.500</t>
  </si>
  <si>
    <t>26</t>
  </si>
  <si>
    <t>A0</t>
  </si>
  <si>
    <t>dark.blue.400</t>
  </si>
  <si>
    <t>7F</t>
  </si>
  <si>
    <t>B1</t>
  </si>
  <si>
    <t>dark.blue.300</t>
  </si>
  <si>
    <t>2C</t>
  </si>
  <si>
    <t>8B</t>
  </si>
  <si>
    <t>dark.blue.200</t>
  </si>
  <si>
    <t>dark.blue.100</t>
  </si>
  <si>
    <t>0F</t>
  </si>
  <si>
    <t>64</t>
  </si>
  <si>
    <t>42</t>
  </si>
  <si>
    <t>21</t>
  </si>
  <si>
    <t>19</t>
  </si>
  <si>
    <t>15</t>
  </si>
  <si>
    <t>82</t>
  </si>
  <si>
    <t>blue.a400</t>
  </si>
  <si>
    <t>44</t>
  </si>
  <si>
    <t>29</t>
  </si>
  <si>
    <t>81</t>
  </si>
  <si>
    <t>03</t>
  </si>
  <si>
    <t>02</t>
  </si>
  <si>
    <t>01</t>
  </si>
  <si>
    <t>80</t>
  </si>
  <si>
    <t>light.blue.a400</t>
  </si>
  <si>
    <t>light.blue.a200</t>
  </si>
  <si>
    <t>#e040fb</t>
  </si>
  <si>
    <t>#7c4dff</t>
  </si>
  <si>
    <t>#536dfe</t>
  </si>
  <si>
    <t>#ff5252</t>
  </si>
  <si>
    <t>#DC143C</t>
  </si>
  <si>
    <t>#2C628B</t>
  </si>
  <si>
    <t>#448aff</t>
  </si>
  <si>
    <t>#ff4081</t>
  </si>
  <si>
    <t>#1A4260</t>
  </si>
  <si>
    <t>#40c4ff</t>
  </si>
  <si>
    <t>#0F2637</t>
  </si>
  <si>
    <t>b2</t>
  </si>
  <si>
    <t>60</t>
  </si>
  <si>
    <t>84</t>
  </si>
  <si>
    <t>cyan.a200</t>
  </si>
  <si>
    <t>dark.cyan.500</t>
  </si>
  <si>
    <t>teal.900</t>
  </si>
  <si>
    <t>teal.800</t>
  </si>
  <si>
    <t>teal.700</t>
  </si>
  <si>
    <t>teal.600</t>
  </si>
  <si>
    <t>teal.500</t>
  </si>
  <si>
    <t>teal.400</t>
  </si>
  <si>
    <t>96</t>
  </si>
  <si>
    <t>teal.300</t>
  </si>
  <si>
    <t>89</t>
  </si>
  <si>
    <t>teal.200</t>
  </si>
  <si>
    <t>teal.100</t>
  </si>
  <si>
    <t>69</t>
  </si>
  <si>
    <t>teal.050</t>
  </si>
  <si>
    <t>teal.a700</t>
  </si>
  <si>
    <t>teal.a400</t>
  </si>
  <si>
    <t>c9</t>
  </si>
  <si>
    <t>66</t>
  </si>
  <si>
    <t>43</t>
  </si>
  <si>
    <t>47</t>
  </si>
  <si>
    <t>32</t>
  </si>
  <si>
    <t>76</t>
  </si>
  <si>
    <t>55</t>
  </si>
  <si>
    <t>59</t>
  </si>
  <si>
    <t>17</t>
  </si>
  <si>
    <t>57</t>
  </si>
  <si>
    <t>24</t>
  </si>
  <si>
    <t>77</t>
  </si>
  <si>
    <t>41</t>
  </si>
  <si>
    <t>58</t>
  </si>
  <si>
    <t>25</t>
  </si>
  <si>
    <t>07</t>
  </si>
  <si>
    <t>d7</t>
  </si>
  <si>
    <t>98</t>
  </si>
  <si>
    <t>70</t>
  </si>
  <si>
    <t>22</t>
  </si>
  <si>
    <t>78</t>
  </si>
  <si>
    <t>93</t>
  </si>
  <si>
    <t>23</t>
  </si>
  <si>
    <t>71</t>
  </si>
  <si>
    <t>11</t>
  </si>
  <si>
    <t>54</t>
  </si>
  <si>
    <t>48</t>
  </si>
  <si>
    <t>27</t>
  </si>
  <si>
    <t>#795548</t>
  </si>
  <si>
    <t>#64ffda</t>
  </si>
  <si>
    <t>#b2ff59</t>
  </si>
  <si>
    <t>#ff6e40</t>
  </si>
  <si>
    <t>#eeff41</t>
  </si>
  <si>
    <t>#ffd740</t>
  </si>
  <si>
    <t>#935635</t>
  </si>
  <si>
    <t>#18ffff</t>
  </si>
  <si>
    <t>#ffab40</t>
  </si>
  <si>
    <t>#1e93c9</t>
  </si>
  <si>
    <t>r</t>
  </si>
  <si>
    <t>g</t>
  </si>
  <si>
    <t>b</t>
  </si>
  <si>
    <t>p (%)</t>
  </si>
  <si>
    <t>t</t>
  </si>
  <si>
    <t>P</t>
  </si>
  <si>
    <t>p&lt;0</t>
  </si>
  <si>
    <t>#FF0000</t>
  </si>
  <si>
    <t>#E60000</t>
  </si>
  <si>
    <t>#7A0000</t>
  </si>
  <si>
    <t>#BA0000</t>
  </si>
  <si>
    <t>#A70000</t>
  </si>
  <si>
    <t>#6E0000</t>
  </si>
  <si>
    <t>#630000</t>
  </si>
  <si>
    <t>#960000</t>
  </si>
  <si>
    <t>#870000</t>
  </si>
  <si>
    <t>#CF0000</t>
  </si>
  <si>
    <t>linear shading</t>
  </si>
  <si>
    <t>log shading</t>
  </si>
  <si>
    <t>#780000</t>
  </si>
  <si>
    <t>#0000FF</t>
  </si>
  <si>
    <t>#FBDFD3</t>
  </si>
  <si>
    <t>#F48000</t>
  </si>
  <si>
    <t>#FACEBA</t>
  </si>
  <si>
    <t>#F59251</t>
  </si>
  <si>
    <t>#F6A06F</t>
  </si>
  <si>
    <t>#F7AC85</t>
  </si>
  <si>
    <t>#F8B696</t>
  </si>
  <si>
    <t>#F9BFA4</t>
  </si>
  <si>
    <t>#FAC6AF</t>
  </si>
  <si>
    <t>#FBCCB9</t>
  </si>
  <si>
    <t>#FBD2C1</t>
  </si>
  <si>
    <t>#FBD7C8</t>
  </si>
  <si>
    <t>#FBDBCE</t>
  </si>
  <si>
    <t>#FBE2D8</t>
  </si>
  <si>
    <t>#FBE5DC</t>
  </si>
  <si>
    <t>#FBEAE3</t>
  </si>
  <si>
    <t>#FBE8E0</t>
  </si>
  <si>
    <t>Color adjust lighter (Linear)</t>
  </si>
  <si>
    <t>Color adjust darker (Linear)</t>
  </si>
  <si>
    <t>base color</t>
  </si>
  <si>
    <t>#DB0000</t>
  </si>
  <si>
    <t>#BC0000</t>
  </si>
  <si>
    <t>#A20000</t>
  </si>
  <si>
    <t>#8B0000</t>
  </si>
  <si>
    <t>#FF7373</t>
  </si>
  <si>
    <t>#FFB2B2</t>
  </si>
  <si>
    <t>#FFD5D5</t>
  </si>
  <si>
    <t>#FFE8E8</t>
  </si>
  <si>
    <t>#FFF2F2</t>
  </si>
  <si>
    <t>#FFF8F8</t>
  </si>
  <si>
    <t>#670000</t>
  </si>
  <si>
    <t>#7373FF</t>
  </si>
  <si>
    <t>#0000DB</t>
  </si>
  <si>
    <t>#B2B2FF</t>
  </si>
  <si>
    <t>#0000BC</t>
  </si>
  <si>
    <t>#0000A2</t>
  </si>
  <si>
    <t>#D5D5FF</t>
  </si>
  <si>
    <t>#00008B</t>
  </si>
  <si>
    <t>#000067</t>
  </si>
  <si>
    <t>#E8E8FF</t>
  </si>
  <si>
    <t>#000078</t>
  </si>
  <si>
    <t>#F8F8FF</t>
  </si>
  <si>
    <t>#F2F2FF</t>
  </si>
  <si>
    <t>Lighter</t>
  </si>
  <si>
    <t>Darker</t>
  </si>
  <si>
    <t>#0277BD</t>
  </si>
  <si>
    <t>#D9E2EF</t>
  </si>
  <si>
    <t>#86A8D1</t>
  </si>
  <si>
    <t>#6394C8</t>
  </si>
  <si>
    <t>#B0C4DF</t>
  </si>
  <si>
    <t>#9EB8D9</t>
  </si>
  <si>
    <t>#BECEE4</t>
  </si>
  <si>
    <t>#C9D6E8</t>
  </si>
  <si>
    <t>#D2DDEC</t>
  </si>
  <si>
    <t>#DFE7F1</t>
  </si>
  <si>
    <t>#E8EEF5</t>
  </si>
  <si>
    <t>#E4EBF3</t>
  </si>
  <si>
    <t>#EFF3F8</t>
  </si>
  <si>
    <t>#ECF1F7</t>
  </si>
  <si>
    <t>#F1F5F9</t>
  </si>
  <si>
    <t>#F3F7FA</t>
  </si>
  <si>
    <t>#01579B</t>
  </si>
  <si>
    <t>#4181B4</t>
  </si>
  <si>
    <t>#71A1C7</t>
  </si>
  <si>
    <t>#B0CBE0</t>
  </si>
  <si>
    <t>#95B9D5</t>
  </si>
  <si>
    <t>#C4D8E8</t>
  </si>
  <si>
    <t>#D3E2EE</t>
  </si>
  <si>
    <t>#DEE9F2</t>
  </si>
  <si>
    <t>#E6EFF5</t>
  </si>
  <si>
    <t>#ECF3F8</t>
  </si>
  <si>
    <t>cumlative</t>
  </si>
  <si>
    <t>#FFFFFF</t>
  </si>
  <si>
    <t>#016EF0</t>
  </si>
  <si>
    <t>#F2F8FE</t>
  </si>
  <si>
    <t>#1A7DF2</t>
  </si>
  <si>
    <t>#348BF3</t>
  </si>
  <si>
    <t>#67A8F6</t>
  </si>
  <si>
    <t>#4D9AF5</t>
  </si>
  <si>
    <t>#80B7F8</t>
  </si>
  <si>
    <t>#99C5F9</t>
  </si>
  <si>
    <t>#E6F1FE</t>
  </si>
  <si>
    <t>#CCE2FC</t>
  </si>
  <si>
    <t>#B3D4FB</t>
  </si>
  <si>
    <t>progression</t>
  </si>
  <si>
    <t>defined</t>
  </si>
  <si>
    <t>values</t>
  </si>
  <si>
    <t>#F58E48</t>
  </si>
  <si>
    <t>#F6A374</t>
  </si>
  <si>
    <t>#F8B99A</t>
  </si>
  <si>
    <t>#FDECE5</t>
  </si>
  <si>
    <t>#FCDFD3</t>
  </si>
  <si>
    <t>#FEF5F1</t>
  </si>
  <si>
    <t>#FFFAF8</t>
  </si>
  <si>
    <t>#FFFDFC</t>
  </si>
  <si>
    <t>#FFFEFE</t>
  </si>
  <si>
    <t>lighter side</t>
  </si>
  <si>
    <t>darker side</t>
  </si>
  <si>
    <t>#DC40FF</t>
  </si>
  <si>
    <t>#E057FF</t>
  </si>
  <si>
    <t>#E77FFF</t>
  </si>
  <si>
    <t>#F0ADFF</t>
  </si>
  <si>
    <t>#F7D4FF</t>
  </si>
  <si>
    <t>#FEFAFF</t>
  </si>
  <si>
    <t>#FCEEFF</t>
  </si>
  <si>
    <t>#CA3BEB</t>
  </si>
  <si>
    <t>#B234CF</t>
  </si>
  <si>
    <t>#962CAE</t>
  </si>
  <si>
    <t>#78238B</t>
  </si>
  <si>
    <t>#5B1B6A</t>
  </si>
  <si>
    <t>#42134C</t>
  </si>
  <si>
    <t>F9</t>
  </si>
  <si>
    <t>E9</t>
  </si>
  <si>
    <t>F7</t>
  </si>
  <si>
    <t>FE</t>
  </si>
  <si>
    <t>C7</t>
  </si>
  <si>
    <t>EC</t>
  </si>
  <si>
    <t>FA</t>
  </si>
  <si>
    <t>C5</t>
  </si>
  <si>
    <t>B3</t>
  </si>
  <si>
    <t>F5</t>
  </si>
  <si>
    <t>A9</t>
  </si>
  <si>
    <t>F4</t>
  </si>
  <si>
    <t>9B</t>
  </si>
  <si>
    <t>72</t>
  </si>
  <si>
    <t>A5</t>
  </si>
  <si>
    <t>5B</t>
  </si>
  <si>
    <t>#03A9F4</t>
  </si>
  <si>
    <t>#039BE0</t>
  </si>
  <si>
    <t>#F9FDFF</t>
  </si>
  <si>
    <t>#56C5F7</t>
  </si>
  <si>
    <t>#93DAFA</t>
  </si>
  <si>
    <t>#E9F7FE</t>
  </si>
  <si>
    <t>#0388C5</t>
  </si>
  <si>
    <t>#0372A5</t>
  </si>
  <si>
    <t>#C7ECFC</t>
  </si>
  <si>
    <t>#024564</t>
  </si>
  <si>
    <t>#21B3F5</t>
  </si>
  <si>
    <t>#025B84</t>
  </si>
  <si>
    <t>#013248</t>
  </si>
  <si>
    <t>EB</t>
  </si>
  <si>
    <t>F6</t>
  </si>
  <si>
    <t>CE</t>
  </si>
  <si>
    <t>E8</t>
  </si>
  <si>
    <t>D2</t>
  </si>
  <si>
    <t>6B</t>
  </si>
  <si>
    <t>B9</t>
  </si>
  <si>
    <t>A3</t>
  </si>
  <si>
    <t>F3</t>
  </si>
  <si>
    <t>1E</t>
  </si>
  <si>
    <t>8A</t>
  </si>
  <si>
    <t>16</t>
  </si>
  <si>
    <t>12</t>
  </si>
  <si>
    <t>52</t>
  </si>
  <si>
    <t>3E</t>
  </si>
  <si>
    <t>0A</t>
  </si>
  <si>
    <t>2D</t>
  </si>
  <si>
    <t>#0A2D48</t>
  </si>
  <si>
    <t>#2196F3</t>
  </si>
  <si>
    <t>#6BB9F7</t>
  </si>
  <si>
    <t>#A0D2FA</t>
  </si>
  <si>
    <t>#1666A5</t>
  </si>
  <si>
    <t>#0E3E64</t>
  </si>
  <si>
    <t>#EBF6FE</t>
  </si>
  <si>
    <t>#1E8AE0</t>
  </si>
  <si>
    <t>#1A79C5</t>
  </si>
  <si>
    <t>#3CA3F4</t>
  </si>
  <si>
    <t>#125284</t>
  </si>
  <si>
    <t>#CEE8FC</t>
  </si>
  <si>
    <t>blue</t>
  </si>
  <si>
    <t>cyan</t>
  </si>
  <si>
    <t>CF</t>
  </si>
  <si>
    <t>A2</t>
  </si>
  <si>
    <t>E7</t>
  </si>
  <si>
    <t>6E</t>
  </si>
  <si>
    <t>CD</t>
  </si>
  <si>
    <t>C6</t>
  </si>
  <si>
    <t>B6</t>
  </si>
  <si>
    <t>1F</t>
  </si>
  <si>
    <t>86</t>
  </si>
  <si>
    <t>10</t>
  </si>
  <si>
    <t>0C</t>
  </si>
  <si>
    <t>3A</t>
  </si>
  <si>
    <t>#1FA0C5</t>
  </si>
  <si>
    <t>#ECFAFE</t>
  </si>
  <si>
    <t>#CFF3FC</t>
  </si>
  <si>
    <t>#40CDF4</t>
  </si>
  <si>
    <t>#6ED9F7</t>
  </si>
  <si>
    <t>#105164</t>
  </si>
  <si>
    <t>#1A86A5</t>
  </si>
  <si>
    <t>#A2E7FA</t>
  </si>
  <si>
    <t>#23B6E0</t>
  </si>
  <si>
    <t>#156B84</t>
  </si>
  <si>
    <t>#FAFEFF</t>
  </si>
  <si>
    <t>#26C6F3</t>
  </si>
  <si>
    <t>#0C3A48</t>
  </si>
  <si>
    <t>indigo</t>
  </si>
  <si>
    <t>FB</t>
  </si>
  <si>
    <t>F1</t>
  </si>
  <si>
    <t>F2</t>
  </si>
  <si>
    <t>DB</t>
  </si>
  <si>
    <t>DE</t>
  </si>
  <si>
    <t>C0</t>
  </si>
  <si>
    <t>F0</t>
  </si>
  <si>
    <t>92</t>
  </si>
  <si>
    <t>9C</t>
  </si>
  <si>
    <t>5C</t>
  </si>
  <si>
    <t>CA</t>
  </si>
  <si>
    <t>4B</t>
  </si>
  <si>
    <t>B2</t>
  </si>
  <si>
    <t>3F</t>
  </si>
  <si>
    <t>1B</t>
  </si>
  <si>
    <t>#323A78</t>
  </si>
  <si>
    <t>#F1F2FC</t>
  </si>
  <si>
    <t>#262C5B</t>
  </si>
  <si>
    <t>#929CE7</t>
  </si>
  <si>
    <t>#4B56B2</t>
  </si>
  <si>
    <t>#B9C0F0</t>
  </si>
  <si>
    <t>#DBDEF7</t>
  </si>
  <si>
    <t>#707DE0</t>
  </si>
  <si>
    <t>#5562CA</t>
  </si>
  <si>
    <t>#3F4896</t>
  </si>
  <si>
    <t>#FBFBFE</t>
  </si>
  <si>
    <t>#5C6BDC</t>
  </si>
  <si>
    <t>#1B2042</t>
  </si>
  <si>
    <t>#F9FCFF</t>
  </si>
  <si>
    <t>B5</t>
  </si>
  <si>
    <t>C1</t>
  </si>
  <si>
    <t>8C</t>
  </si>
  <si>
    <t>9E</t>
  </si>
  <si>
    <t>#8C9EFE</t>
  </si>
  <si>
    <t>4C</t>
  </si>
  <si>
    <t>EA</t>
  </si>
  <si>
    <t>#4C64EA</t>
  </si>
  <si>
    <t>#4358CE</t>
  </si>
  <si>
    <t>indigo.a600</t>
  </si>
  <si>
    <t>indigo.a300</t>
  </si>
  <si>
    <t>indigo.a450</t>
  </si>
  <si>
    <t>✔</t>
  </si>
  <si>
    <t>light.blue</t>
  </si>
  <si>
    <t>6F</t>
  </si>
  <si>
    <t>D7</t>
  </si>
  <si>
    <t>B4</t>
  </si>
  <si>
    <t>light.blue.a450</t>
  </si>
  <si>
    <t>light.blue.a300</t>
  </si>
  <si>
    <t>6D</t>
  </si>
  <si>
    <t>EE</t>
  </si>
  <si>
    <t>D4</t>
  </si>
  <si>
    <t>AC</t>
  </si>
  <si>
    <t>7E</t>
  </si>
  <si>
    <t>AE</t>
  </si>
  <si>
    <t>6A</t>
  </si>
  <si>
    <t>13</t>
  </si>
  <si>
    <t>#3E3EFF</t>
  </si>
  <si>
    <t>#13134C</t>
  </si>
  <si>
    <t>#FAFAFF</t>
  </si>
  <si>
    <t>#7E7EFF</t>
  </si>
  <si>
    <t>#3232CF</t>
  </si>
  <si>
    <t>#EEEEFF</t>
  </si>
  <si>
    <t>#22228B</t>
  </si>
  <si>
    <t>#ACACFF</t>
  </si>
  <si>
    <t>#D4D4FF</t>
  </si>
  <si>
    <t>#5555FF</t>
  </si>
  <si>
    <t>#1A1A6A</t>
  </si>
  <si>
    <t>#3939EB</t>
  </si>
  <si>
    <t>#2A2AAE</t>
  </si>
  <si>
    <t>#65FFFF</t>
  </si>
  <si>
    <t>cyan.a600</t>
  </si>
  <si>
    <t>#13CFCF</t>
  </si>
  <si>
    <t>#10AEAE</t>
  </si>
  <si>
    <t>cyan.a300</t>
  </si>
  <si>
    <t>cyan.a450</t>
  </si>
  <si>
    <t>#57AEB9</t>
  </si>
  <si>
    <t>#82B1FF</t>
  </si>
  <si>
    <t>blue.a600</t>
  </si>
  <si>
    <t>blue.a450</t>
  </si>
  <si>
    <t>#3F7FEB</t>
  </si>
  <si>
    <t>#3770CF</t>
  </si>
  <si>
    <t>blue.a300</t>
  </si>
  <si>
    <t>CB</t>
  </si>
  <si>
    <t>#57CBFF</t>
  </si>
  <si>
    <t>light.blue.a500</t>
  </si>
  <si>
    <t>3B</t>
  </si>
  <si>
    <t>#3BB4EB</t>
  </si>
  <si>
    <t>#349ECF</t>
  </si>
  <si>
    <t>85</t>
  </si>
  <si>
    <t>#2C85AE</t>
  </si>
  <si>
    <t>dark.blue.450</t>
  </si>
  <si>
    <t>#39A0CF</t>
  </si>
  <si>
    <t>1C</t>
  </si>
  <si>
    <t>87</t>
  </si>
  <si>
    <t>#1C87B9</t>
  </si>
  <si>
    <t>teal.950</t>
  </si>
  <si>
    <t>teal.010</t>
  </si>
  <si>
    <t>teal</t>
  </si>
  <si>
    <t>teal.450</t>
  </si>
  <si>
    <t>ED</t>
  </si>
  <si>
    <t>F8</t>
  </si>
  <si>
    <t>D3</t>
  </si>
  <si>
    <t>AB</t>
  </si>
  <si>
    <t>E2</t>
  </si>
  <si>
    <t>7C</t>
  </si>
  <si>
    <t>D1</t>
  </si>
  <si>
    <t>C9</t>
  </si>
  <si>
    <t>C2</t>
  </si>
  <si>
    <t>B8</t>
  </si>
  <si>
    <t>BA</t>
  </si>
  <si>
    <t>2F</t>
  </si>
  <si>
    <t>8D</t>
  </si>
  <si>
    <t>5E</t>
  </si>
  <si>
    <t>4D</t>
  </si>
  <si>
    <t>#FAFDFD</t>
  </si>
  <si>
    <t>#1F655E</t>
  </si>
  <si>
    <t>#EDF9F8</t>
  </si>
  <si>
    <t>#277E76</t>
  </si>
  <si>
    <t>#52C2B8</t>
  </si>
  <si>
    <t>#ABE2DC</t>
  </si>
  <si>
    <t>#7CD1C9</t>
  </si>
  <si>
    <t>#D3F0ED</t>
  </si>
  <si>
    <t>#2F968D</t>
  </si>
  <si>
    <t>#35ABA0</t>
  </si>
  <si>
    <t>#184D47</t>
  </si>
  <si>
    <t>#3ABAAE</t>
  </si>
  <si>
    <t>#113733</t>
  </si>
  <si>
    <t>lime</t>
  </si>
  <si>
    <t>7B</t>
  </si>
  <si>
    <t>BD</t>
  </si>
  <si>
    <t>A6</t>
  </si>
  <si>
    <t>2E</t>
  </si>
  <si>
    <t>#FEFEFA</t>
  </si>
  <si>
    <t>#EAF0AB</t>
  </si>
  <si>
    <t>#F4F7D3</t>
  </si>
  <si>
    <t>#6F781F</t>
  </si>
  <si>
    <t>#DEE77B</t>
  </si>
  <si>
    <t>#D3E051</t>
  </si>
  <si>
    <t>#A6B22E</t>
  </si>
  <si>
    <t>#FBFCED</t>
  </si>
  <si>
    <t>#8B9627</t>
  </si>
  <si>
    <t>#CDDC39</t>
  </si>
  <si>
    <t>#BDCA34</t>
  </si>
  <si>
    <t>#545B18</t>
  </si>
  <si>
    <t>#3C4211</t>
  </si>
  <si>
    <t>teal.a450</t>
  </si>
  <si>
    <t>EF</t>
  </si>
  <si>
    <t>#BDFFEF</t>
  </si>
  <si>
    <t>#51CFB1</t>
  </si>
  <si>
    <t>#5CEBC9</t>
  </si>
  <si>
    <t>teal.a300</t>
  </si>
  <si>
    <t>green</t>
  </si>
  <si>
    <t>D8</t>
  </si>
  <si>
    <t>61</t>
  </si>
  <si>
    <t>C8</t>
  </si>
  <si>
    <t>46</t>
  </si>
  <si>
    <t>#205321</t>
  </si>
  <si>
    <t>#173C18</t>
  </si>
  <si>
    <t>#FBFEFB</t>
  </si>
  <si>
    <t>#B2E8B4</t>
  </si>
  <si>
    <t>#348837</t>
  </si>
  <si>
    <t>#EFFAEF</t>
  </si>
  <si>
    <t>#3EA241</t>
  </si>
  <si>
    <t>#4CC850</t>
  </si>
  <si>
    <t>#2A6D2C</t>
  </si>
  <si>
    <t>#D7F3D8</t>
  </si>
  <si>
    <t>#61CF65</t>
  </si>
  <si>
    <t>#87DB8A</t>
  </si>
  <si>
    <t>#46B84A</t>
  </si>
  <si>
    <t>BF</t>
  </si>
  <si>
    <t>#69FAAE</t>
  </si>
  <si>
    <t>#BFFDDC</t>
  </si>
  <si>
    <t>E6</t>
  </si>
  <si>
    <t>#55CA8D</t>
  </si>
  <si>
    <t>#61E6A0</t>
  </si>
  <si>
    <t>#F8FFAE</t>
  </si>
  <si>
    <t>#DBEB3C</t>
  </si>
  <si>
    <t>#C1CF35</t>
  </si>
  <si>
    <t>light.green</t>
  </si>
  <si>
    <t>99</t>
  </si>
  <si>
    <t>5F</t>
  </si>
  <si>
    <t>#E5F1D7</t>
  </si>
  <si>
    <t>#4C6A28</t>
  </si>
  <si>
    <t>#F5F9EF</t>
  </si>
  <si>
    <t>#8BC34A</t>
  </si>
  <si>
    <t>#B1D786</t>
  </si>
  <si>
    <t>#99CA60</t>
  </si>
  <si>
    <t>#CDE5B2</t>
  </si>
  <si>
    <t>#719E3C</t>
  </si>
  <si>
    <t>#80B344</t>
  </si>
  <si>
    <t>#5F8532</t>
  </si>
  <si>
    <t>#FCFDFB</t>
  </si>
  <si>
    <t>#3A511E</t>
  </si>
  <si>
    <t>#2A3A16</t>
  </si>
  <si>
    <t>#CBFF90</t>
  </si>
  <si>
    <t>A4</t>
  </si>
  <si>
    <t>#A4EB52</t>
  </si>
  <si>
    <t>#90CF48</t>
  </si>
  <si>
    <t>yellow</t>
  </si>
  <si>
    <t>#FFFDED</t>
  </si>
  <si>
    <t>#AEA028</t>
  </si>
  <si>
    <t>#8B8020</t>
  </si>
  <si>
    <t>#EBD836</t>
  </si>
  <si>
    <t>#FFFAD3</t>
  </si>
  <si>
    <t>#FFF6AB</t>
  </si>
  <si>
    <t>#6A6118</t>
  </si>
  <si>
    <t>#4C4611</t>
  </si>
  <si>
    <t>#FFF17C</t>
  </si>
  <si>
    <t>#FFED53</t>
  </si>
  <si>
    <t>#FFEB3B</t>
  </si>
  <si>
    <t>#CFBE30</t>
  </si>
  <si>
    <t>#FFFEFA</t>
  </si>
  <si>
    <t>orange</t>
  </si>
  <si>
    <t>#FFFCF9</t>
  </si>
  <si>
    <t>9F</t>
  </si>
  <si>
    <t>1D</t>
  </si>
  <si>
    <t>8F</t>
  </si>
  <si>
    <t>0B</t>
  </si>
  <si>
    <t>08</t>
  </si>
  <si>
    <t>06</t>
  </si>
  <si>
    <t>05</t>
  </si>
  <si>
    <t>04</t>
  </si>
  <si>
    <t>9A</t>
  </si>
  <si>
    <t>#6A3B05</t>
  </si>
  <si>
    <t>#4C2A04</t>
  </si>
  <si>
    <t>#FFCE97</t>
  </si>
  <si>
    <t>#8B4D06</t>
  </si>
  <si>
    <t>#EB810B</t>
  </si>
  <si>
    <t>#FFE6C9</t>
  </si>
  <si>
    <t>#AE6008</t>
  </si>
  <si>
    <t>#FFF5E9</t>
  </si>
  <si>
    <t>#FF8C0C</t>
  </si>
  <si>
    <t>#FFB25C</t>
  </si>
  <si>
    <t>#CF720A</t>
  </si>
  <si>
    <t>#FF9A29</t>
  </si>
  <si>
    <t>#ffff92</t>
  </si>
  <si>
    <t>#EBEB00</t>
  </si>
  <si>
    <t>#CFCF00</t>
  </si>
  <si>
    <t>#FFC77F</t>
  </si>
  <si>
    <t>9D</t>
  </si>
  <si>
    <t>#CF8A34</t>
  </si>
  <si>
    <t>74</t>
  </si>
  <si>
    <t>#AE742C</t>
  </si>
  <si>
    <t>amber</t>
  </si>
  <si>
    <t>deep.orange</t>
  </si>
  <si>
    <t>E4</t>
  </si>
  <si>
    <t>#FFC825</t>
  </si>
  <si>
    <t>#FFF1C8</t>
  </si>
  <si>
    <t>#FFF9E9</t>
  </si>
  <si>
    <t>#FFC107</t>
  </si>
  <si>
    <t>#FFE495</t>
  </si>
  <si>
    <t>#EBB206</t>
  </si>
  <si>
    <t>#CF9D05</t>
  </si>
  <si>
    <t>#AE8404</t>
  </si>
  <si>
    <t>#8B6A03</t>
  </si>
  <si>
    <t>#FFD559</t>
  </si>
  <si>
    <t>#FFFDF9</t>
  </si>
  <si>
    <t>#6A5102</t>
  </si>
  <si>
    <t>#4C3A01</t>
  </si>
  <si>
    <t>A1</t>
  </si>
  <si>
    <t>6C</t>
  </si>
  <si>
    <t>3D</t>
  </si>
  <si>
    <t>#FF5722</t>
  </si>
  <si>
    <t>#CF461B</t>
  </si>
  <si>
    <t>#EB501F</t>
  </si>
  <si>
    <t>#FFDACE</t>
  </si>
  <si>
    <t>#8B2F12</t>
  </si>
  <si>
    <t>#FF8F6C</t>
  </si>
  <si>
    <t>#AE3B17</t>
  </si>
  <si>
    <t>#FFF0EB</t>
  </si>
  <si>
    <t>#FFB7A1</t>
  </si>
  <si>
    <t>#FF6B3D</t>
  </si>
  <si>
    <t>#FFFBF9</t>
  </si>
  <si>
    <t>#6A240E</t>
  </si>
  <si>
    <t>#4C1A0A</t>
  </si>
  <si>
    <t>#FFE47F</t>
  </si>
  <si>
    <t>#CFAE34</t>
  </si>
  <si>
    <t>#EBC63B</t>
  </si>
  <si>
    <t>#FF9E7F</t>
  </si>
  <si>
    <t>#EB653B</t>
  </si>
  <si>
    <t>#CF5934</t>
  </si>
  <si>
    <t>medium.brown</t>
  </si>
  <si>
    <t>brown</t>
  </si>
  <si>
    <t>tan</t>
  </si>
  <si>
    <t>8E</t>
  </si>
  <si>
    <t>4F</t>
  </si>
  <si>
    <t>2B</t>
  </si>
  <si>
    <t>#FCFBFA</t>
  </si>
  <si>
    <t>#502F1D</t>
  </si>
  <si>
    <t>#E7DAD2</t>
  </si>
  <si>
    <t>#A06A4D</t>
  </si>
  <si>
    <t>#643B24</t>
  </si>
  <si>
    <t>#F5F0ED</t>
  </si>
  <si>
    <t>#D1B7A9</t>
  </si>
  <si>
    <t>#77462B</t>
  </si>
  <si>
    <t>#874F31</t>
  </si>
  <si>
    <t>#B78E78</t>
  </si>
  <si>
    <t>#2C1A10</t>
  </si>
  <si>
    <t>#3D2416</t>
  </si>
  <si>
    <t>E1</t>
  </si>
  <si>
    <t>D6</t>
  </si>
  <si>
    <t>4E</t>
  </si>
  <si>
    <t>#32231E</t>
  </si>
  <si>
    <t>#241916</t>
  </si>
  <si>
    <t>#FCFBFB</t>
  </si>
  <si>
    <t>#422E27</t>
  </si>
  <si>
    <t>#E1D9D6</t>
  </si>
  <si>
    <t>#A58D85</t>
  </si>
  <si>
    <t>#523A31</t>
  </si>
  <si>
    <t>#F3F0EF</t>
  </si>
  <si>
    <t>#C5B6B1</t>
  </si>
  <si>
    <t>#62453A</t>
  </si>
  <si>
    <t>#6F4E42</t>
  </si>
  <si>
    <t>#89695E</t>
  </si>
  <si>
    <t>DF</t>
  </si>
  <si>
    <t>#634A31</t>
  </si>
  <si>
    <t>#473523</t>
  </si>
  <si>
    <t>#F9DFC5</t>
  </si>
  <si>
    <t>#DDA66E</t>
  </si>
  <si>
    <t>#F5CDA5</t>
  </si>
  <si>
    <t>#FEF8F3</t>
  </si>
  <si>
    <t>#A37B51</t>
  </si>
  <si>
    <t>#FCEEE1</t>
  </si>
  <si>
    <t>#C29261</t>
  </si>
  <si>
    <t>#826241</t>
  </si>
  <si>
    <t>#F0B478</t>
  </si>
  <si>
    <t>#F2BD88</t>
  </si>
  <si>
    <t>dark.brown</t>
  </si>
  <si>
    <t>blue.gray</t>
  </si>
  <si>
    <t>pink</t>
  </si>
  <si>
    <t>deep.purple</t>
  </si>
  <si>
    <t>A8</t>
  </si>
  <si>
    <t>73</t>
  </si>
  <si>
    <t>#607D8B</t>
  </si>
  <si>
    <t>#95A8B1</t>
  </si>
  <si>
    <t>#DCE2E5</t>
  </si>
  <si>
    <t>#738D99</t>
  </si>
  <si>
    <t>#34444C</t>
  </si>
  <si>
    <t>#BBC7CD</t>
  </si>
  <si>
    <t>#41555F</t>
  </si>
  <si>
    <t>#F1F3F5</t>
  </si>
  <si>
    <t>#4D6571</t>
  </si>
  <si>
    <t>#587380</t>
  </si>
  <si>
    <t>#FBFCFC</t>
  </si>
  <si>
    <t>#28343A</t>
  </si>
  <si>
    <t>#1D252A</t>
  </si>
  <si>
    <t>BC</t>
  </si>
  <si>
    <t>09</t>
  </si>
  <si>
    <t>#FACDDC</t>
  </si>
  <si>
    <t>#D61C5B</t>
  </si>
  <si>
    <t>#9E1543</t>
  </si>
  <si>
    <t>#7E1136</t>
  </si>
  <si>
    <t>#EC3976</t>
  </si>
  <si>
    <t>#FDEBF1</t>
  </si>
  <si>
    <t>#E91E63</t>
  </si>
  <si>
    <t>#F69FBC</t>
  </si>
  <si>
    <t>#F16997</t>
  </si>
  <si>
    <t>#BC1950</t>
  </si>
  <si>
    <t>#FEF9FB</t>
  </si>
  <si>
    <t>#600D29</t>
  </si>
  <si>
    <t>#45091E</t>
  </si>
  <si>
    <t>94</t>
  </si>
  <si>
    <t>#BEABE0</t>
  </si>
  <si>
    <t>#673AB7</t>
  </si>
  <si>
    <t>#542F94</t>
  </si>
  <si>
    <t>#47277C</t>
  </si>
  <si>
    <t>#391F63</t>
  </si>
  <si>
    <t>#997CCF</t>
  </si>
  <si>
    <t>#5F35A8</t>
  </si>
  <si>
    <t>#7952C0</t>
  </si>
  <si>
    <t>#DDD3EF</t>
  </si>
  <si>
    <t>#F1EDF9</t>
  </si>
  <si>
    <t>#FBFAFD</t>
  </si>
  <si>
    <t>#2B184B</t>
  </si>
  <si>
    <t>#1F1136</t>
  </si>
  <si>
    <t>#FF7FAB</t>
  </si>
  <si>
    <t>#EB3B77</t>
  </si>
  <si>
    <t>#CF3469</t>
  </si>
  <si>
    <t>#A888FF</t>
  </si>
  <si>
    <t>#7247EB</t>
  </si>
  <si>
    <t>#643ECF</t>
  </si>
  <si>
    <t>red</t>
  </si>
  <si>
    <t>crimson</t>
  </si>
  <si>
    <t>purple</t>
  </si>
  <si>
    <t>14</t>
  </si>
  <si>
    <t>#FEF9FA</t>
  </si>
  <si>
    <t>#420611</t>
  </si>
  <si>
    <t>#F7CBD3</t>
  </si>
  <si>
    <t>#780A20</t>
  </si>
  <si>
    <t>#F09BAB</t>
  </si>
  <si>
    <t>#5B0818</t>
  </si>
  <si>
    <t>#E7627C</t>
  </si>
  <si>
    <t>#960D28</t>
  </si>
  <si>
    <t>#E03053</t>
  </si>
  <si>
    <t>#B21030</t>
  </si>
  <si>
    <t>#CA1237</t>
  </si>
  <si>
    <t>#FCEAED</t>
  </si>
  <si>
    <t>5D</t>
  </si>
  <si>
    <t>C4</t>
  </si>
  <si>
    <t>#331538</t>
  </si>
  <si>
    <t>#FDFBFD</t>
  </si>
  <si>
    <t>#ECD6F0</t>
  </si>
  <si>
    <t>#5D2666</t>
  </si>
  <si>
    <t>#DBB0E2</t>
  </si>
  <si>
    <t>#471D4E</t>
  </si>
  <si>
    <t>#C784D2</t>
  </si>
  <si>
    <t>#B55DC4</t>
  </si>
  <si>
    <t>#AB47BC</t>
  </si>
  <si>
    <t>#9D41AD</t>
  </si>
  <si>
    <t>#8A3998</t>
  </si>
  <si>
    <t>#743080</t>
  </si>
  <si>
    <t>#F7EFF9</t>
  </si>
  <si>
    <t>#EA7FFC</t>
  </si>
  <si>
    <t>#CE3BE7</t>
  </si>
  <si>
    <t>#B534CB</t>
  </si>
  <si>
    <t>magenta</t>
  </si>
  <si>
    <t>#FFC6FF</t>
  </si>
  <si>
    <t>#8B008B</t>
  </si>
  <si>
    <t>#FF92FF</t>
  </si>
  <si>
    <t>#6A006A</t>
  </si>
  <si>
    <t>#FF55FF</t>
  </si>
  <si>
    <t>#FF1FFF</t>
  </si>
  <si>
    <t>#AE00AE</t>
  </si>
  <si>
    <t>#FF00FF</t>
  </si>
  <si>
    <t>#EB00EB</t>
  </si>
  <si>
    <t>#CF00CF</t>
  </si>
  <si>
    <t>#FFE8FF</t>
  </si>
  <si>
    <t>#FFF9FF</t>
  </si>
  <si>
    <t>#4C004C</t>
  </si>
  <si>
    <t>#6A0000</t>
  </si>
  <si>
    <t>#4C0000</t>
  </si>
  <si>
    <t>#FF1F1F</t>
  </si>
  <si>
    <t>#FF9292</t>
  </si>
  <si>
    <t>#FF5555</t>
  </si>
  <si>
    <t>#FFF9F9</t>
  </si>
  <si>
    <t>#EB0000</t>
  </si>
  <si>
    <t>#AE0000</t>
  </si>
  <si>
    <t>#FFC6C6</t>
  </si>
  <si>
    <t>gray.010</t>
  </si>
  <si>
    <t>gray.450</t>
  </si>
  <si>
    <t>AF</t>
  </si>
  <si>
    <t>#090909</t>
  </si>
  <si>
    <t>#747474</t>
  </si>
  <si>
    <t>#939393</t>
  </si>
  <si>
    <t>#C9C9C9</t>
  </si>
  <si>
    <t>#A1A1A1</t>
  </si>
  <si>
    <t>#BDBDBD</t>
  </si>
  <si>
    <t>#252525</t>
  </si>
  <si>
    <t>#E5E5E5</t>
  </si>
  <si>
    <t>#464646</t>
  </si>
  <si>
    <t>#AFAFAF</t>
  </si>
  <si>
    <t>#595959</t>
  </si>
  <si>
    <t>#ECECEC</t>
  </si>
  <si>
    <t>#0F0F0F</t>
  </si>
  <si>
    <t>#868686</t>
  </si>
  <si>
    <t>#F1F1F1</t>
  </si>
  <si>
    <t>#F5F5F5</t>
  </si>
  <si>
    <t>#333333</t>
  </si>
  <si>
    <t>#676767</t>
  </si>
  <si>
    <t>#7C7C7C</t>
  </si>
  <si>
    <t>#D4D4D4</t>
  </si>
  <si>
    <t>#FF8B8B</t>
  </si>
  <si>
    <t>#CF4242</t>
  </si>
  <si>
    <t>#EB4B4B</t>
  </si>
  <si>
    <t>#482A08</t>
  </si>
  <si>
    <t>#CA9862</t>
  </si>
  <si>
    <t>#77450E</t>
  </si>
  <si>
    <t>#F8F1EA</t>
  </si>
  <si>
    <t>#A15D13</t>
  </si>
  <si>
    <t>#341E06</t>
  </si>
  <si>
    <t>#EDDDCB</t>
  </si>
  <si>
    <t>#DDBD9B</t>
  </si>
  <si>
    <t>#FDFBF9</t>
  </si>
  <si>
    <t>#8E5211</t>
  </si>
  <si>
    <t>#5F370B</t>
  </si>
  <si>
    <t>#B97731</t>
  </si>
  <si>
    <t>#AF6515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</si>
</sst>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#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0" tint="-0.34998626667073579"/>
      <name val="Calibri"/>
      <family val="2"/>
      <scheme val="minor"/>
    </font>
    <font>
      <sz val="7"/>
      <color theme="1"/>
      <name val="Calibri"/>
      <family val="2"/>
      <scheme val="minor"/>
    </font>
  </fonts>
  <fills count="5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607D8B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AB47BC"/>
        <bgColor indexed="64"/>
      </patternFill>
    </fill>
    <fill>
      <patternFill patternType="solid">
        <fgColor rgb="FFE040FB"/>
        <bgColor indexed="64"/>
      </patternFill>
    </fill>
    <fill>
      <patternFill patternType="solid">
        <fgColor rgb="FF7C4DFF"/>
        <bgColor indexed="64"/>
      </patternFill>
    </fill>
    <fill>
      <patternFill patternType="solid">
        <fgColor rgb="FF536DFE"/>
        <bgColor indexed="64"/>
      </patternFill>
    </fill>
    <fill>
      <patternFill patternType="solid">
        <fgColor rgb="FF3E3EFF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82B1FF"/>
        <bgColor indexed="64"/>
      </patternFill>
    </fill>
    <fill>
      <patternFill patternType="solid">
        <fgColor rgb="FF673AB7"/>
        <bgColor indexed="64"/>
      </patternFill>
    </fill>
    <fill>
      <patternFill patternType="solid">
        <fgColor rgb="FFFF525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2C628B"/>
        <bgColor indexed="64"/>
      </patternFill>
    </fill>
    <fill>
      <patternFill patternType="solid">
        <fgColor rgb="FF448AFF"/>
        <bgColor indexed="64"/>
      </patternFill>
    </fill>
    <fill>
      <patternFill patternType="solid">
        <fgColor rgb="FF03A9F4"/>
        <bgColor indexed="64"/>
      </patternFill>
    </fill>
    <fill>
      <patternFill patternType="solid">
        <fgColor rgb="FFFF4081"/>
        <bgColor indexed="64"/>
      </patternFill>
    </fill>
    <fill>
      <patternFill patternType="solid">
        <fgColor rgb="FF1A4260"/>
        <bgColor indexed="64"/>
      </patternFill>
    </fill>
    <fill>
      <patternFill patternType="solid">
        <fgColor rgb="FF2196F3"/>
        <bgColor indexed="64"/>
      </patternFill>
    </fill>
    <fill>
      <patternFill patternType="solid">
        <fgColor rgb="FF40C4FF"/>
        <bgColor indexed="64"/>
      </patternFill>
    </fill>
    <fill>
      <patternFill patternType="solid">
        <fgColor rgb="FFE91E63"/>
        <bgColor indexed="64"/>
      </patternFill>
    </fill>
    <fill>
      <patternFill patternType="solid">
        <fgColor rgb="FF0F2637"/>
        <bgColor indexed="64"/>
      </patternFill>
    </fill>
    <fill>
      <patternFill patternType="solid">
        <fgColor rgb="FF795548"/>
        <bgColor indexed="64"/>
      </patternFill>
    </fill>
    <fill>
      <patternFill patternType="solid">
        <fgColor rgb="FF64FFDA"/>
        <bgColor indexed="64"/>
      </patternFill>
    </fill>
    <fill>
      <patternFill patternType="solid">
        <fgColor rgb="FFB2FF59"/>
        <bgColor indexed="64"/>
      </patternFill>
    </fill>
    <fill>
      <patternFill patternType="solid">
        <fgColor rgb="FFFF6E40"/>
        <bgColor indexed="64"/>
      </patternFill>
    </fill>
    <fill>
      <patternFill patternType="solid">
        <fgColor rgb="FFF0B478"/>
        <bgColor indexed="64"/>
      </patternFill>
    </fill>
    <fill>
      <patternFill patternType="solid">
        <fgColor rgb="FFEEFF41"/>
        <bgColor indexed="64"/>
      </patternFill>
    </fill>
    <fill>
      <patternFill patternType="solid">
        <fgColor rgb="FFFFD740"/>
        <bgColor indexed="64"/>
      </patternFill>
    </fill>
    <fill>
      <patternFill patternType="solid">
        <fgColor rgb="FFFFEB3B"/>
        <bgColor indexed="64"/>
      </patternFill>
    </fill>
    <fill>
      <patternFill patternType="solid">
        <fgColor rgb="FF935635"/>
        <bgColor indexed="64"/>
      </patternFill>
    </fill>
    <fill>
      <patternFill patternType="solid">
        <fgColor rgb="FF8BC34A"/>
        <bgColor indexed="64"/>
      </patternFill>
    </fill>
    <fill>
      <patternFill patternType="solid">
        <fgColor rgb="FFFFC107"/>
        <bgColor indexed="64"/>
      </patternFill>
    </fill>
    <fill>
      <patternFill patternType="solid">
        <fgColor rgb="FFFF5722"/>
        <bgColor indexed="64"/>
      </patternFill>
    </fill>
    <fill>
      <patternFill patternType="solid">
        <fgColor rgb="FF18FFFF"/>
        <bgColor indexed="64"/>
      </patternFill>
    </fill>
    <fill>
      <patternFill patternType="solid">
        <fgColor rgb="FFFFAB40"/>
        <bgColor indexed="64"/>
      </patternFill>
    </fill>
    <fill>
      <patternFill patternType="solid">
        <fgColor rgb="FFCDDC39"/>
        <bgColor indexed="64"/>
      </patternFill>
    </fill>
    <fill>
      <patternFill patternType="solid">
        <fgColor rgb="FF1E93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7A0000"/>
        <bgColor indexed="64"/>
      </patternFill>
    </fill>
    <fill>
      <patternFill patternType="solid">
        <fgColor rgb="FFBA0000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CF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FBDFD3"/>
        <bgColor indexed="64"/>
      </patternFill>
    </fill>
    <fill>
      <patternFill patternType="solid">
        <fgColor rgb="FFF48000"/>
        <bgColor indexed="64"/>
      </patternFill>
    </fill>
    <fill>
      <patternFill patternType="solid">
        <fgColor rgb="FFFACEBA"/>
        <bgColor indexed="64"/>
      </patternFill>
    </fill>
    <fill>
      <patternFill patternType="solid">
        <fgColor rgb="FFF59251"/>
        <bgColor indexed="64"/>
      </patternFill>
    </fill>
    <fill>
      <patternFill patternType="solid">
        <fgColor rgb="FFF6A06F"/>
        <bgColor indexed="64"/>
      </patternFill>
    </fill>
    <fill>
      <patternFill patternType="solid">
        <fgColor rgb="FFF7AC85"/>
        <bgColor indexed="64"/>
      </patternFill>
    </fill>
    <fill>
      <patternFill patternType="solid">
        <fgColor rgb="FFF8B696"/>
        <bgColor indexed="64"/>
      </patternFill>
    </fill>
    <fill>
      <patternFill patternType="solid">
        <fgColor rgb="FFF9BFA4"/>
        <bgColor indexed="64"/>
      </patternFill>
    </fill>
    <fill>
      <patternFill patternType="solid">
        <fgColor rgb="FFFAC6AF"/>
        <bgColor indexed="64"/>
      </patternFill>
    </fill>
    <fill>
      <patternFill patternType="solid">
        <fgColor rgb="FFFBCCB9"/>
        <bgColor indexed="64"/>
      </patternFill>
    </fill>
    <fill>
      <patternFill patternType="solid">
        <fgColor rgb="FFFBD2C1"/>
        <bgColor indexed="64"/>
      </patternFill>
    </fill>
    <fill>
      <patternFill patternType="solid">
        <fgColor rgb="FFFBD7C8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FBE2D8"/>
        <bgColor indexed="64"/>
      </patternFill>
    </fill>
    <fill>
      <patternFill patternType="solid">
        <fgColor rgb="FFFBE5DC"/>
        <bgColor indexed="64"/>
      </patternFill>
    </fill>
    <fill>
      <patternFill patternType="solid">
        <fgColor rgb="FFFBEAE3"/>
        <bgColor indexed="64"/>
      </patternFill>
    </fill>
    <fill>
      <patternFill patternType="solid">
        <fgColor rgb="FFFBE8E0"/>
        <bgColor indexed="64"/>
      </patternFill>
    </fill>
    <fill>
      <patternFill patternType="solid">
        <fgColor rgb="FFDB0000"/>
        <bgColor indexed="64"/>
      </patternFill>
    </fill>
    <fill>
      <patternFill patternType="solid">
        <fgColor rgb="FFBC0000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7373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E8E8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7373FF"/>
        <bgColor indexed="64"/>
      </patternFill>
    </fill>
    <fill>
      <patternFill patternType="solid">
        <fgColor rgb="FF0000DB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00A2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E8E8FF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D9E2EF"/>
        <bgColor indexed="64"/>
      </patternFill>
    </fill>
    <fill>
      <patternFill patternType="solid">
        <fgColor rgb="FF86A8D1"/>
        <bgColor indexed="64"/>
      </patternFill>
    </fill>
    <fill>
      <patternFill patternType="solid">
        <fgColor rgb="FF6394C8"/>
        <bgColor indexed="64"/>
      </patternFill>
    </fill>
    <fill>
      <patternFill patternType="solid">
        <fgColor rgb="FFB0C4DF"/>
        <bgColor indexed="64"/>
      </patternFill>
    </fill>
    <fill>
      <patternFill patternType="solid">
        <fgColor rgb="FF9EB8D9"/>
        <bgColor indexed="64"/>
      </patternFill>
    </fill>
    <fill>
      <patternFill patternType="solid">
        <fgColor rgb="FFBECEE4"/>
        <bgColor indexed="64"/>
      </patternFill>
    </fill>
    <fill>
      <patternFill patternType="solid">
        <fgColor rgb="FFC9D6E8"/>
        <bgColor indexed="64"/>
      </patternFill>
    </fill>
    <fill>
      <patternFill patternType="solid">
        <fgColor rgb="FFD2DDEC"/>
        <bgColor indexed="64"/>
      </patternFill>
    </fill>
    <fill>
      <patternFill patternType="solid">
        <fgColor rgb="FFDFE7F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E4EBF3"/>
        <bgColor indexed="64"/>
      </patternFill>
    </fill>
    <fill>
      <patternFill patternType="solid">
        <fgColor rgb="FFEFF3F8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4181B4"/>
        <bgColor indexed="64"/>
      </patternFill>
    </fill>
    <fill>
      <patternFill patternType="solid">
        <fgColor rgb="FF71A1C7"/>
        <bgColor indexed="64"/>
      </patternFill>
    </fill>
    <fill>
      <patternFill patternType="solid">
        <fgColor rgb="FFB0CBE0"/>
        <bgColor indexed="64"/>
      </patternFill>
    </fill>
    <fill>
      <patternFill patternType="solid">
        <fgColor rgb="FF95B9D5"/>
        <bgColor indexed="64"/>
      </patternFill>
    </fill>
    <fill>
      <patternFill patternType="solid">
        <fgColor rgb="FFC4D8E8"/>
        <bgColor indexed="64"/>
      </patternFill>
    </fill>
    <fill>
      <patternFill patternType="solid">
        <fgColor rgb="FFD3E2EE"/>
        <bgColor indexed="64"/>
      </patternFill>
    </fill>
    <fill>
      <patternFill patternType="solid">
        <fgColor rgb="FFDEE9F2"/>
        <bgColor indexed="64"/>
      </patternFill>
    </fill>
    <fill>
      <patternFill patternType="solid">
        <fgColor rgb="FFE6EFF5"/>
        <bgColor indexed="64"/>
      </patternFill>
    </fill>
    <fill>
      <patternFill patternType="solid">
        <fgColor rgb="FFECF3F8"/>
        <bgColor indexed="64"/>
      </patternFill>
    </fill>
    <fill>
      <patternFill patternType="solid">
        <fgColor rgb="FF016EF0"/>
        <bgColor indexed="64"/>
      </patternFill>
    </fill>
    <fill>
      <patternFill patternType="solid">
        <fgColor rgb="FFF2F8FE"/>
        <bgColor indexed="64"/>
      </patternFill>
    </fill>
    <fill>
      <patternFill patternType="solid">
        <fgColor rgb="FF1A7DF2"/>
        <bgColor indexed="64"/>
      </patternFill>
    </fill>
    <fill>
      <patternFill patternType="solid">
        <fgColor rgb="FF348BF3"/>
        <bgColor indexed="64"/>
      </patternFill>
    </fill>
    <fill>
      <patternFill patternType="solid">
        <fgColor rgb="FF67A8F6"/>
        <bgColor indexed="64"/>
      </patternFill>
    </fill>
    <fill>
      <patternFill patternType="solid">
        <fgColor rgb="FF4D9AF5"/>
        <bgColor indexed="64"/>
      </patternFill>
    </fill>
    <fill>
      <patternFill patternType="solid">
        <fgColor rgb="FF80B7F8"/>
        <bgColor indexed="64"/>
      </patternFill>
    </fill>
    <fill>
      <patternFill patternType="solid">
        <fgColor rgb="FF99C5F9"/>
        <bgColor indexed="64"/>
      </patternFill>
    </fill>
    <fill>
      <patternFill patternType="solid">
        <fgColor rgb="FFE6F1FE"/>
        <bgColor indexed="64"/>
      </patternFill>
    </fill>
    <fill>
      <patternFill patternType="solid">
        <fgColor rgb="FFCCE2FC"/>
        <bgColor indexed="64"/>
      </patternFill>
    </fill>
    <fill>
      <patternFill patternType="solid">
        <fgColor rgb="FFB3D4FB"/>
        <bgColor indexed="64"/>
      </patternFill>
    </fill>
    <fill>
      <patternFill patternType="solid">
        <fgColor rgb="FFF58E48"/>
        <bgColor indexed="64"/>
      </patternFill>
    </fill>
    <fill>
      <patternFill patternType="solid">
        <fgColor rgb="FFF6A374"/>
        <bgColor indexed="64"/>
      </patternFill>
    </fill>
    <fill>
      <patternFill patternType="solid">
        <fgColor rgb="FFF8B99A"/>
        <bgColor indexed="64"/>
      </patternFill>
    </fill>
    <fill>
      <patternFill patternType="solid">
        <fgColor rgb="FFFDECE5"/>
        <bgColor indexed="64"/>
      </patternFill>
    </fill>
    <fill>
      <patternFill patternType="solid">
        <fgColor rgb="FFFCDFD3"/>
        <bgColor indexed="64"/>
      </patternFill>
    </fill>
    <fill>
      <patternFill patternType="solid">
        <fgColor rgb="FFFEF5F1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DC40FF"/>
        <bgColor indexed="64"/>
      </patternFill>
    </fill>
    <fill>
      <patternFill patternType="solid">
        <fgColor rgb="FFE057FF"/>
        <bgColor indexed="64"/>
      </patternFill>
    </fill>
    <fill>
      <patternFill patternType="solid">
        <fgColor rgb="FFE77FFF"/>
        <bgColor indexed="64"/>
      </patternFill>
    </fill>
    <fill>
      <patternFill patternType="solid">
        <fgColor rgb="FFF0ADFF"/>
        <bgColor indexed="64"/>
      </patternFill>
    </fill>
    <fill>
      <patternFill patternType="solid">
        <fgColor rgb="FFF7D4FF"/>
        <bgColor indexed="64"/>
      </patternFill>
    </fill>
    <fill>
      <patternFill patternType="solid">
        <fgColor rgb="FFFEFAFF"/>
        <bgColor indexed="64"/>
      </patternFill>
    </fill>
    <fill>
      <patternFill patternType="solid">
        <fgColor rgb="FFFCEEFF"/>
        <bgColor indexed="64"/>
      </patternFill>
    </fill>
    <fill>
      <patternFill patternType="solid">
        <fgColor rgb="FFCA3BEB"/>
        <bgColor indexed="64"/>
      </patternFill>
    </fill>
    <fill>
      <patternFill patternType="solid">
        <fgColor rgb="FFB234CF"/>
        <bgColor indexed="64"/>
      </patternFill>
    </fill>
    <fill>
      <patternFill patternType="solid">
        <fgColor rgb="FF962CAE"/>
        <bgColor indexed="64"/>
      </patternFill>
    </fill>
    <fill>
      <patternFill patternType="solid">
        <fgColor rgb="FF78238B"/>
        <bgColor indexed="64"/>
      </patternFill>
    </fill>
    <fill>
      <patternFill patternType="solid">
        <fgColor rgb="FF5B1B6A"/>
        <bgColor indexed="64"/>
      </patternFill>
    </fill>
    <fill>
      <patternFill patternType="solid">
        <fgColor rgb="FF42134C"/>
        <bgColor indexed="64"/>
      </patternFill>
    </fill>
    <fill>
      <patternFill patternType="solid">
        <fgColor rgb="FF039BE0"/>
        <bgColor indexed="64"/>
      </patternFill>
    </fill>
    <fill>
      <patternFill patternType="solid">
        <fgColor rgb="FFF9FDFF"/>
        <bgColor indexed="64"/>
      </patternFill>
    </fill>
    <fill>
      <patternFill patternType="solid">
        <fgColor rgb="FF56C5F7"/>
        <bgColor indexed="64"/>
      </patternFill>
    </fill>
    <fill>
      <patternFill patternType="solid">
        <fgColor rgb="FF93DAFA"/>
        <bgColor indexed="64"/>
      </patternFill>
    </fill>
    <fill>
      <patternFill patternType="solid">
        <fgColor rgb="FFE9F7FE"/>
        <bgColor indexed="64"/>
      </patternFill>
    </fill>
    <fill>
      <patternFill patternType="solid">
        <fgColor rgb="FF0388C5"/>
        <bgColor indexed="64"/>
      </patternFill>
    </fill>
    <fill>
      <patternFill patternType="solid">
        <fgColor rgb="FF0372A5"/>
        <bgColor indexed="64"/>
      </patternFill>
    </fill>
    <fill>
      <patternFill patternType="solid">
        <fgColor rgb="FFC7ECFC"/>
        <bgColor indexed="64"/>
      </patternFill>
    </fill>
    <fill>
      <patternFill patternType="solid">
        <fgColor rgb="FF024564"/>
        <bgColor indexed="64"/>
      </patternFill>
    </fill>
    <fill>
      <patternFill patternType="solid">
        <fgColor rgb="FF21B3F5"/>
        <bgColor indexed="64"/>
      </patternFill>
    </fill>
    <fill>
      <patternFill patternType="solid">
        <fgColor rgb="FF025B84"/>
        <bgColor indexed="64"/>
      </patternFill>
    </fill>
    <fill>
      <patternFill patternType="solid">
        <fgColor rgb="FF013248"/>
        <bgColor indexed="64"/>
      </patternFill>
    </fill>
    <fill>
      <patternFill patternType="solid">
        <fgColor rgb="FF0A2D48"/>
        <bgColor indexed="64"/>
      </patternFill>
    </fill>
    <fill>
      <patternFill patternType="solid">
        <fgColor rgb="FF6BB9F7"/>
        <bgColor indexed="64"/>
      </patternFill>
    </fill>
    <fill>
      <patternFill patternType="solid">
        <fgColor rgb="FFA0D2FA"/>
        <bgColor indexed="64"/>
      </patternFill>
    </fill>
    <fill>
      <patternFill patternType="solid">
        <fgColor rgb="FF1666A5"/>
        <bgColor indexed="64"/>
      </patternFill>
    </fill>
    <fill>
      <patternFill patternType="solid">
        <fgColor rgb="FF0E3E64"/>
        <bgColor indexed="64"/>
      </patternFill>
    </fill>
    <fill>
      <patternFill patternType="solid">
        <fgColor rgb="FFEBF6FE"/>
        <bgColor indexed="64"/>
      </patternFill>
    </fill>
    <fill>
      <patternFill patternType="solid">
        <fgColor rgb="FF1E8AE0"/>
        <bgColor indexed="64"/>
      </patternFill>
    </fill>
    <fill>
      <patternFill patternType="solid">
        <fgColor rgb="FF1A79C5"/>
        <bgColor indexed="64"/>
      </patternFill>
    </fill>
    <fill>
      <patternFill patternType="solid">
        <fgColor rgb="FF3CA3F4"/>
        <bgColor indexed="64"/>
      </patternFill>
    </fill>
    <fill>
      <patternFill patternType="solid">
        <fgColor rgb="FF125284"/>
        <bgColor indexed="64"/>
      </patternFill>
    </fill>
    <fill>
      <patternFill patternType="solid">
        <fgColor rgb="FFCEE8FC"/>
        <bgColor indexed="64"/>
      </patternFill>
    </fill>
    <fill>
      <patternFill patternType="solid">
        <fgColor rgb="FF1FA0C5"/>
        <bgColor indexed="64"/>
      </patternFill>
    </fill>
    <fill>
      <patternFill patternType="solid">
        <fgColor rgb="FFECFAFE"/>
        <bgColor indexed="64"/>
      </patternFill>
    </fill>
    <fill>
      <patternFill patternType="solid">
        <fgColor rgb="FFCFF3FC"/>
        <bgColor indexed="64"/>
      </patternFill>
    </fill>
    <fill>
      <patternFill patternType="solid">
        <fgColor rgb="FF40CDF4"/>
        <bgColor indexed="64"/>
      </patternFill>
    </fill>
    <fill>
      <patternFill patternType="solid">
        <fgColor rgb="FF6ED9F7"/>
        <bgColor indexed="64"/>
      </patternFill>
    </fill>
    <fill>
      <patternFill patternType="solid">
        <fgColor rgb="FF105164"/>
        <bgColor indexed="64"/>
      </patternFill>
    </fill>
    <fill>
      <patternFill patternType="solid">
        <fgColor rgb="FF1A86A5"/>
        <bgColor indexed="64"/>
      </patternFill>
    </fill>
    <fill>
      <patternFill patternType="solid">
        <fgColor rgb="FFA2E7FA"/>
        <bgColor indexed="64"/>
      </patternFill>
    </fill>
    <fill>
      <patternFill patternType="solid">
        <fgColor rgb="FF23B6E0"/>
        <bgColor indexed="64"/>
      </patternFill>
    </fill>
    <fill>
      <patternFill patternType="solid">
        <fgColor rgb="FF156B84"/>
        <bgColor indexed="64"/>
      </patternFill>
    </fill>
    <fill>
      <patternFill patternType="solid">
        <fgColor rgb="FFFAFEFF"/>
        <bgColor indexed="64"/>
      </patternFill>
    </fill>
    <fill>
      <patternFill patternType="solid">
        <fgColor rgb="FF26C6F3"/>
        <bgColor indexed="64"/>
      </patternFill>
    </fill>
    <fill>
      <patternFill patternType="solid">
        <fgColor rgb="FF0C3A48"/>
        <bgColor indexed="64"/>
      </patternFill>
    </fill>
    <fill>
      <patternFill patternType="solid">
        <fgColor rgb="FF323A78"/>
        <bgColor indexed="64"/>
      </patternFill>
    </fill>
    <fill>
      <patternFill patternType="solid">
        <fgColor rgb="FFF1F2FC"/>
        <bgColor indexed="64"/>
      </patternFill>
    </fill>
    <fill>
      <patternFill patternType="solid">
        <fgColor rgb="FF262C5B"/>
        <bgColor indexed="64"/>
      </patternFill>
    </fill>
    <fill>
      <patternFill patternType="solid">
        <fgColor rgb="FF929CE7"/>
        <bgColor indexed="64"/>
      </patternFill>
    </fill>
    <fill>
      <patternFill patternType="solid">
        <fgColor rgb="FF4B56B2"/>
        <bgColor indexed="64"/>
      </patternFill>
    </fill>
    <fill>
      <patternFill patternType="solid">
        <fgColor rgb="FFB9C0F0"/>
        <bgColor indexed="64"/>
      </patternFill>
    </fill>
    <fill>
      <patternFill patternType="solid">
        <fgColor rgb="FFDBDEF7"/>
        <bgColor indexed="64"/>
      </patternFill>
    </fill>
    <fill>
      <patternFill patternType="solid">
        <fgColor rgb="FF707DE0"/>
        <bgColor indexed="64"/>
      </patternFill>
    </fill>
    <fill>
      <patternFill patternType="solid">
        <fgColor rgb="FF5562CA"/>
        <bgColor indexed="64"/>
      </patternFill>
    </fill>
    <fill>
      <patternFill patternType="solid">
        <fgColor rgb="FF3F4896"/>
        <bgColor indexed="64"/>
      </patternFill>
    </fill>
    <fill>
      <patternFill patternType="solid">
        <fgColor rgb="FFFBFBFE"/>
        <bgColor indexed="64"/>
      </patternFill>
    </fill>
    <fill>
      <patternFill patternType="solid">
        <fgColor rgb="FF5C6BDC"/>
        <bgColor indexed="64"/>
      </patternFill>
    </fill>
    <fill>
      <patternFill patternType="solid">
        <fgColor rgb="FF1B2042"/>
        <bgColor indexed="64"/>
      </patternFill>
    </fill>
    <fill>
      <patternFill patternType="solid">
        <fgColor rgb="FFF9FCFF"/>
        <bgColor indexed="64"/>
      </patternFill>
    </fill>
    <fill>
      <patternFill patternType="solid">
        <fgColor rgb="FF8C9EFE"/>
        <bgColor indexed="64"/>
      </patternFill>
    </fill>
    <fill>
      <patternFill patternType="solid">
        <fgColor rgb="FF4C64EA"/>
        <bgColor indexed="64"/>
      </patternFill>
    </fill>
    <fill>
      <patternFill patternType="solid">
        <fgColor rgb="FF4358CE"/>
        <bgColor indexed="64"/>
      </patternFill>
    </fill>
    <fill>
      <patternFill patternType="solid">
        <fgColor rgb="FF13134C"/>
        <bgColor indexed="64"/>
      </patternFill>
    </fill>
    <fill>
      <patternFill patternType="solid">
        <fgColor rgb="FFFAFAFF"/>
        <bgColor indexed="64"/>
      </patternFill>
    </fill>
    <fill>
      <patternFill patternType="solid">
        <fgColor rgb="FF7E7EFF"/>
        <bgColor indexed="64"/>
      </patternFill>
    </fill>
    <fill>
      <patternFill patternType="solid">
        <fgColor rgb="FF3232CF"/>
        <bgColor indexed="64"/>
      </patternFill>
    </fill>
    <fill>
      <patternFill patternType="solid">
        <fgColor rgb="FFEEEEFF"/>
        <bgColor indexed="64"/>
      </patternFill>
    </fill>
    <fill>
      <patternFill patternType="solid">
        <fgColor rgb="FF22228B"/>
        <bgColor indexed="64"/>
      </patternFill>
    </fill>
    <fill>
      <patternFill patternType="solid">
        <fgColor rgb="FFACACFF"/>
        <bgColor indexed="64"/>
      </patternFill>
    </fill>
    <fill>
      <patternFill patternType="solid">
        <fgColor rgb="FFD4D4FF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1A1A6A"/>
        <bgColor indexed="64"/>
      </patternFill>
    </fill>
    <fill>
      <patternFill patternType="solid">
        <fgColor rgb="FF3939EB"/>
        <bgColor indexed="64"/>
      </patternFill>
    </fill>
    <fill>
      <patternFill patternType="solid">
        <fgColor rgb="FF2A2AAE"/>
        <bgColor indexed="64"/>
      </patternFill>
    </fill>
    <fill>
      <patternFill patternType="solid">
        <fgColor rgb="FF65FFFF"/>
        <bgColor indexed="64"/>
      </patternFill>
    </fill>
    <fill>
      <patternFill patternType="solid">
        <fgColor rgb="FF13CFCF"/>
        <bgColor indexed="64"/>
      </patternFill>
    </fill>
    <fill>
      <patternFill patternType="solid">
        <fgColor rgb="FF10AEAE"/>
        <bgColor indexed="64"/>
      </patternFill>
    </fill>
    <fill>
      <patternFill patternType="solid">
        <fgColor rgb="FF57AEB9"/>
        <bgColor indexed="64"/>
      </patternFill>
    </fill>
    <fill>
      <patternFill patternType="solid">
        <fgColor rgb="FF3F7FEB"/>
        <bgColor indexed="64"/>
      </patternFill>
    </fill>
    <fill>
      <patternFill patternType="solid">
        <fgColor rgb="FF3770CF"/>
        <bgColor indexed="64"/>
      </patternFill>
    </fill>
    <fill>
      <patternFill patternType="solid">
        <fgColor rgb="FF57CBFF"/>
        <bgColor indexed="64"/>
      </patternFill>
    </fill>
    <fill>
      <patternFill patternType="solid">
        <fgColor rgb="FF3BB4EB"/>
        <bgColor indexed="64"/>
      </patternFill>
    </fill>
    <fill>
      <patternFill patternType="solid">
        <fgColor rgb="FF349ECF"/>
        <bgColor indexed="64"/>
      </patternFill>
    </fill>
    <fill>
      <patternFill patternType="solid">
        <fgColor rgb="FF2C85AE"/>
        <bgColor indexed="64"/>
      </patternFill>
    </fill>
    <fill>
      <patternFill patternType="solid">
        <fgColor rgb="FF39A0CF"/>
        <bgColor indexed="64"/>
      </patternFill>
    </fill>
    <fill>
      <patternFill patternType="solid">
        <fgColor rgb="FF1C87B9"/>
        <bgColor indexed="64"/>
      </patternFill>
    </fill>
    <fill>
      <patternFill patternType="solid">
        <fgColor rgb="FFFAFDFD"/>
        <bgColor indexed="64"/>
      </patternFill>
    </fill>
    <fill>
      <patternFill patternType="solid">
        <fgColor rgb="FF1F655E"/>
        <bgColor indexed="64"/>
      </patternFill>
    </fill>
    <fill>
      <patternFill patternType="solid">
        <fgColor rgb="FFEDF9F8"/>
        <bgColor indexed="64"/>
      </patternFill>
    </fill>
    <fill>
      <patternFill patternType="solid">
        <fgColor rgb="FF277E76"/>
        <bgColor indexed="64"/>
      </patternFill>
    </fill>
    <fill>
      <patternFill patternType="solid">
        <fgColor rgb="FF52C2B8"/>
        <bgColor indexed="64"/>
      </patternFill>
    </fill>
    <fill>
      <patternFill patternType="solid">
        <fgColor rgb="FFABE2DC"/>
        <bgColor indexed="64"/>
      </patternFill>
    </fill>
    <fill>
      <patternFill patternType="solid">
        <fgColor rgb="FF7CD1C9"/>
        <bgColor indexed="64"/>
      </patternFill>
    </fill>
    <fill>
      <patternFill patternType="solid">
        <fgColor rgb="FFD3F0ED"/>
        <bgColor indexed="64"/>
      </patternFill>
    </fill>
    <fill>
      <patternFill patternType="solid">
        <fgColor rgb="FF2F968D"/>
        <bgColor indexed="64"/>
      </patternFill>
    </fill>
    <fill>
      <patternFill patternType="solid">
        <fgColor rgb="FF35ABA0"/>
        <bgColor indexed="64"/>
      </patternFill>
    </fill>
    <fill>
      <patternFill patternType="solid">
        <fgColor rgb="FF184D47"/>
        <bgColor indexed="64"/>
      </patternFill>
    </fill>
    <fill>
      <patternFill patternType="solid">
        <fgColor rgb="FF3ABAAE"/>
        <bgColor indexed="64"/>
      </patternFill>
    </fill>
    <fill>
      <patternFill patternType="solid">
        <fgColor rgb="FF113733"/>
        <bgColor indexed="64"/>
      </patternFill>
    </fill>
    <fill>
      <patternFill patternType="solid">
        <fgColor rgb="FFFEFEFA"/>
        <bgColor indexed="64"/>
      </patternFill>
    </fill>
    <fill>
      <patternFill patternType="solid">
        <fgColor rgb="FFEAF0AB"/>
        <bgColor indexed="64"/>
      </patternFill>
    </fill>
    <fill>
      <patternFill patternType="solid">
        <fgColor rgb="FFF4F7D3"/>
        <bgColor indexed="64"/>
      </patternFill>
    </fill>
    <fill>
      <patternFill patternType="solid">
        <fgColor rgb="FF6F781F"/>
        <bgColor indexed="64"/>
      </patternFill>
    </fill>
    <fill>
      <patternFill patternType="solid">
        <fgColor rgb="FFDEE77B"/>
        <bgColor indexed="64"/>
      </patternFill>
    </fill>
    <fill>
      <patternFill patternType="solid">
        <fgColor rgb="FFD3E051"/>
        <bgColor indexed="64"/>
      </patternFill>
    </fill>
    <fill>
      <patternFill patternType="solid">
        <fgColor rgb="FFA6B22E"/>
        <bgColor indexed="64"/>
      </patternFill>
    </fill>
    <fill>
      <patternFill patternType="solid">
        <fgColor rgb="FFFBFCED"/>
        <bgColor indexed="64"/>
      </patternFill>
    </fill>
    <fill>
      <patternFill patternType="solid">
        <fgColor rgb="FF8B9627"/>
        <bgColor indexed="64"/>
      </patternFill>
    </fill>
    <fill>
      <patternFill patternType="solid">
        <fgColor rgb="FFBDCA34"/>
        <bgColor indexed="64"/>
      </patternFill>
    </fill>
    <fill>
      <patternFill patternType="solid">
        <fgColor rgb="FF545B18"/>
        <bgColor indexed="64"/>
      </patternFill>
    </fill>
    <fill>
      <patternFill patternType="solid">
        <fgColor rgb="FF3C4211"/>
        <bgColor indexed="64"/>
      </patternFill>
    </fill>
    <fill>
      <patternFill patternType="solid">
        <fgColor rgb="FFBDFFEF"/>
        <bgColor indexed="64"/>
      </patternFill>
    </fill>
    <fill>
      <patternFill patternType="solid">
        <fgColor rgb="FF51CFB1"/>
        <bgColor indexed="64"/>
      </patternFill>
    </fill>
    <fill>
      <patternFill patternType="solid">
        <fgColor rgb="FF5CEBC9"/>
        <bgColor indexed="64"/>
      </patternFill>
    </fill>
    <fill>
      <patternFill patternType="solid">
        <fgColor rgb="FF205321"/>
        <bgColor indexed="64"/>
      </patternFill>
    </fill>
    <fill>
      <patternFill patternType="solid">
        <fgColor rgb="FF173C18"/>
        <bgColor indexed="64"/>
      </patternFill>
    </fill>
    <fill>
      <patternFill patternType="solid">
        <fgColor rgb="FFFBFEFB"/>
        <bgColor indexed="64"/>
      </patternFill>
    </fill>
    <fill>
      <patternFill patternType="solid">
        <fgColor rgb="FFB2E8B4"/>
        <bgColor indexed="64"/>
      </patternFill>
    </fill>
    <fill>
      <patternFill patternType="solid">
        <fgColor rgb="FF348837"/>
        <bgColor indexed="64"/>
      </patternFill>
    </fill>
    <fill>
      <patternFill patternType="solid">
        <fgColor rgb="FFEFFAEF"/>
        <bgColor indexed="64"/>
      </patternFill>
    </fill>
    <fill>
      <patternFill patternType="solid">
        <fgColor rgb="FF3EA241"/>
        <bgColor indexed="64"/>
      </patternFill>
    </fill>
    <fill>
      <patternFill patternType="solid">
        <fgColor rgb="FF4CC850"/>
        <bgColor indexed="64"/>
      </patternFill>
    </fill>
    <fill>
      <patternFill patternType="solid">
        <fgColor rgb="FF2A6D2C"/>
        <bgColor indexed="64"/>
      </patternFill>
    </fill>
    <fill>
      <patternFill patternType="solid">
        <fgColor rgb="FFD7F3D8"/>
        <bgColor indexed="64"/>
      </patternFill>
    </fill>
    <fill>
      <patternFill patternType="solid">
        <fgColor rgb="FF61CF65"/>
        <bgColor indexed="64"/>
      </patternFill>
    </fill>
    <fill>
      <patternFill patternType="solid">
        <fgColor rgb="FF87DB8A"/>
        <bgColor indexed="64"/>
      </patternFill>
    </fill>
    <fill>
      <patternFill patternType="solid">
        <fgColor rgb="FF46B84A"/>
        <bgColor indexed="64"/>
      </patternFill>
    </fill>
    <fill>
      <patternFill patternType="solid">
        <fgColor rgb="FF69FAAE"/>
        <bgColor indexed="64"/>
      </patternFill>
    </fill>
    <fill>
      <patternFill patternType="solid">
        <fgColor rgb="FFBFFDDC"/>
        <bgColor indexed="64"/>
      </patternFill>
    </fill>
    <fill>
      <patternFill patternType="solid">
        <fgColor rgb="FF55CA8D"/>
        <bgColor indexed="64"/>
      </patternFill>
    </fill>
    <fill>
      <patternFill patternType="solid">
        <fgColor rgb="FF61E6A0"/>
        <bgColor indexed="64"/>
      </patternFill>
    </fill>
    <fill>
      <patternFill patternType="solid">
        <fgColor rgb="FFF8FFAE"/>
        <bgColor indexed="64"/>
      </patternFill>
    </fill>
    <fill>
      <patternFill patternType="solid">
        <fgColor rgb="FFDBEB3C"/>
        <bgColor indexed="64"/>
      </patternFill>
    </fill>
    <fill>
      <patternFill patternType="solid">
        <fgColor rgb="FFC1CF35"/>
        <bgColor indexed="64"/>
      </patternFill>
    </fill>
    <fill>
      <patternFill patternType="solid">
        <fgColor rgb="FFE5F1D7"/>
        <bgColor indexed="64"/>
      </patternFill>
    </fill>
    <fill>
      <patternFill patternType="solid">
        <fgColor rgb="FF4C6A28"/>
        <bgColor indexed="64"/>
      </patternFill>
    </fill>
    <fill>
      <patternFill patternType="solid">
        <fgColor rgb="FFF5F9EF"/>
        <bgColor indexed="64"/>
      </patternFill>
    </fill>
    <fill>
      <patternFill patternType="solid">
        <fgColor rgb="FFB1D786"/>
        <bgColor indexed="64"/>
      </patternFill>
    </fill>
    <fill>
      <patternFill patternType="solid">
        <fgColor rgb="FF99CA60"/>
        <bgColor indexed="64"/>
      </patternFill>
    </fill>
    <fill>
      <patternFill patternType="solid">
        <fgColor rgb="FFCDE5B2"/>
        <bgColor indexed="64"/>
      </patternFill>
    </fill>
    <fill>
      <patternFill patternType="solid">
        <fgColor rgb="FF719E3C"/>
        <bgColor indexed="64"/>
      </patternFill>
    </fill>
    <fill>
      <patternFill patternType="solid">
        <fgColor rgb="FF80B344"/>
        <bgColor indexed="64"/>
      </patternFill>
    </fill>
    <fill>
      <patternFill patternType="solid">
        <fgColor rgb="FF5F8532"/>
        <bgColor indexed="64"/>
      </patternFill>
    </fill>
    <fill>
      <patternFill patternType="solid">
        <fgColor rgb="FFFCFDFB"/>
        <bgColor indexed="64"/>
      </patternFill>
    </fill>
    <fill>
      <patternFill patternType="solid">
        <fgColor rgb="FF3A511E"/>
        <bgColor indexed="64"/>
      </patternFill>
    </fill>
    <fill>
      <patternFill patternType="solid">
        <fgColor rgb="FF2A3A16"/>
        <bgColor indexed="64"/>
      </patternFill>
    </fill>
    <fill>
      <patternFill patternType="solid">
        <fgColor rgb="FFCBFF90"/>
        <bgColor indexed="64"/>
      </patternFill>
    </fill>
    <fill>
      <patternFill patternType="solid">
        <fgColor rgb="FFA4EB52"/>
        <bgColor indexed="64"/>
      </patternFill>
    </fill>
    <fill>
      <patternFill patternType="solid">
        <fgColor rgb="FF90CF48"/>
        <bgColor indexed="64"/>
      </patternFill>
    </fill>
    <fill>
      <patternFill patternType="solid">
        <fgColor rgb="FFFFFDED"/>
        <bgColor indexed="64"/>
      </patternFill>
    </fill>
    <fill>
      <patternFill patternType="solid">
        <fgColor rgb="FFAEA028"/>
        <bgColor indexed="64"/>
      </patternFill>
    </fill>
    <fill>
      <patternFill patternType="solid">
        <fgColor rgb="FF8B8020"/>
        <bgColor indexed="64"/>
      </patternFill>
    </fill>
    <fill>
      <patternFill patternType="solid">
        <fgColor rgb="FFEBD836"/>
        <bgColor indexed="64"/>
      </patternFill>
    </fill>
    <fill>
      <patternFill patternType="solid">
        <fgColor rgb="FFFFFAD3"/>
        <bgColor indexed="64"/>
      </patternFill>
    </fill>
    <fill>
      <patternFill patternType="solid">
        <fgColor rgb="FFFFF6AB"/>
        <bgColor indexed="64"/>
      </patternFill>
    </fill>
    <fill>
      <patternFill patternType="solid">
        <fgColor rgb="FF6A6118"/>
        <bgColor indexed="64"/>
      </patternFill>
    </fill>
    <fill>
      <patternFill patternType="solid">
        <fgColor rgb="FF4C4611"/>
        <bgColor indexed="64"/>
      </patternFill>
    </fill>
    <fill>
      <patternFill patternType="solid">
        <fgColor rgb="FFFFF17C"/>
        <bgColor indexed="64"/>
      </patternFill>
    </fill>
    <fill>
      <patternFill patternType="solid">
        <fgColor rgb="FFFFED53"/>
        <bgColor indexed="64"/>
      </patternFill>
    </fill>
    <fill>
      <patternFill patternType="solid">
        <fgColor rgb="FFCFBE30"/>
        <bgColor indexed="64"/>
      </patternFill>
    </fill>
    <fill>
      <patternFill patternType="solid">
        <fgColor rgb="FFFFFEFA"/>
        <bgColor indexed="64"/>
      </patternFill>
    </fill>
    <fill>
      <patternFill patternType="solid">
        <fgColor rgb="FFFFFCF9"/>
        <bgColor indexed="64"/>
      </patternFill>
    </fill>
    <fill>
      <patternFill patternType="solid">
        <fgColor rgb="FF6A3B05"/>
        <bgColor indexed="64"/>
      </patternFill>
    </fill>
    <fill>
      <patternFill patternType="solid">
        <fgColor rgb="FF4C2A04"/>
        <bgColor indexed="64"/>
      </patternFill>
    </fill>
    <fill>
      <patternFill patternType="solid">
        <fgColor rgb="FFFFCE97"/>
        <bgColor indexed="64"/>
      </patternFill>
    </fill>
    <fill>
      <patternFill patternType="solid">
        <fgColor rgb="FF8B4D06"/>
        <bgColor indexed="64"/>
      </patternFill>
    </fill>
    <fill>
      <patternFill patternType="solid">
        <fgColor rgb="FFEB810B"/>
        <bgColor indexed="64"/>
      </patternFill>
    </fill>
    <fill>
      <patternFill patternType="solid">
        <fgColor rgb="FFFFE6C9"/>
        <bgColor indexed="64"/>
      </patternFill>
    </fill>
    <fill>
      <patternFill patternType="solid">
        <fgColor rgb="FFAE6008"/>
        <bgColor indexed="64"/>
      </patternFill>
    </fill>
    <fill>
      <patternFill patternType="solid">
        <fgColor rgb="FFFFF5E9"/>
        <bgColor indexed="64"/>
      </patternFill>
    </fill>
    <fill>
      <patternFill patternType="solid">
        <fgColor rgb="FFFF8C0C"/>
        <bgColor indexed="64"/>
      </patternFill>
    </fill>
    <fill>
      <patternFill patternType="solid">
        <fgColor rgb="FFFFB25C"/>
        <bgColor indexed="64"/>
      </patternFill>
    </fill>
    <fill>
      <patternFill patternType="solid">
        <fgColor rgb="FFCF720A"/>
        <bgColor indexed="64"/>
      </patternFill>
    </fill>
    <fill>
      <patternFill patternType="solid">
        <fgColor rgb="FFFF9A29"/>
        <bgColor indexed="64"/>
      </patternFill>
    </fill>
    <fill>
      <patternFill patternType="solid">
        <fgColor rgb="FFFFFF92"/>
        <bgColor indexed="64"/>
      </patternFill>
    </fill>
    <fill>
      <patternFill patternType="solid">
        <fgColor rgb="FFEBEB00"/>
        <bgColor indexed="64"/>
      </patternFill>
    </fill>
    <fill>
      <patternFill patternType="solid">
        <fgColor rgb="FFCFCF00"/>
        <bgColor indexed="64"/>
      </patternFill>
    </fill>
    <fill>
      <patternFill patternType="solid">
        <fgColor rgb="FFFFC77F"/>
        <bgColor indexed="64"/>
      </patternFill>
    </fill>
    <fill>
      <patternFill patternType="solid">
        <fgColor rgb="FFCF8A34"/>
        <bgColor indexed="64"/>
      </patternFill>
    </fill>
    <fill>
      <patternFill patternType="solid">
        <fgColor rgb="FFAE742C"/>
        <bgColor indexed="64"/>
      </patternFill>
    </fill>
    <fill>
      <patternFill patternType="solid">
        <fgColor rgb="FFFFC825"/>
        <bgColor indexed="64"/>
      </patternFill>
    </fill>
    <fill>
      <patternFill patternType="solid">
        <fgColor rgb="FFFFF1C8"/>
        <bgColor indexed="64"/>
      </patternFill>
    </fill>
    <fill>
      <patternFill patternType="solid">
        <fgColor rgb="FFFFF9E9"/>
        <bgColor indexed="64"/>
      </patternFill>
    </fill>
    <fill>
      <patternFill patternType="solid">
        <fgColor rgb="FFFFE495"/>
        <bgColor indexed="64"/>
      </patternFill>
    </fill>
    <fill>
      <patternFill patternType="solid">
        <fgColor rgb="FFEBB206"/>
        <bgColor indexed="64"/>
      </patternFill>
    </fill>
    <fill>
      <patternFill patternType="solid">
        <fgColor rgb="FFCF9D05"/>
        <bgColor indexed="64"/>
      </patternFill>
    </fill>
    <fill>
      <patternFill patternType="solid">
        <fgColor rgb="FFAE8404"/>
        <bgColor indexed="64"/>
      </patternFill>
    </fill>
    <fill>
      <patternFill patternType="solid">
        <fgColor rgb="FF8B6A03"/>
        <bgColor indexed="64"/>
      </patternFill>
    </fill>
    <fill>
      <patternFill patternType="solid">
        <fgColor rgb="FFFFD559"/>
        <bgColor indexed="64"/>
      </patternFill>
    </fill>
    <fill>
      <patternFill patternType="solid">
        <fgColor rgb="FFFFFDF9"/>
        <bgColor indexed="64"/>
      </patternFill>
    </fill>
    <fill>
      <patternFill patternType="solid">
        <fgColor rgb="FF6A5102"/>
        <bgColor indexed="64"/>
      </patternFill>
    </fill>
    <fill>
      <patternFill patternType="solid">
        <fgColor rgb="FF4C3A01"/>
        <bgColor indexed="64"/>
      </patternFill>
    </fill>
    <fill>
      <patternFill patternType="solid">
        <fgColor rgb="FFCF461B"/>
        <bgColor indexed="64"/>
      </patternFill>
    </fill>
    <fill>
      <patternFill patternType="solid">
        <fgColor rgb="FFEB501F"/>
        <bgColor indexed="64"/>
      </patternFill>
    </fill>
    <fill>
      <patternFill patternType="solid">
        <fgColor rgb="FFFFDACE"/>
        <bgColor indexed="64"/>
      </patternFill>
    </fill>
    <fill>
      <patternFill patternType="solid">
        <fgColor rgb="FF8B2F12"/>
        <bgColor indexed="64"/>
      </patternFill>
    </fill>
    <fill>
      <patternFill patternType="solid">
        <fgColor rgb="FFFF8F6C"/>
        <bgColor indexed="64"/>
      </patternFill>
    </fill>
    <fill>
      <patternFill patternType="solid">
        <fgColor rgb="FFAE3B17"/>
        <bgColor indexed="64"/>
      </patternFill>
    </fill>
    <fill>
      <patternFill patternType="solid">
        <fgColor rgb="FFFFF0EB"/>
        <bgColor indexed="64"/>
      </patternFill>
    </fill>
    <fill>
      <patternFill patternType="solid">
        <fgColor rgb="FFFFB7A1"/>
        <bgColor indexed="64"/>
      </patternFill>
    </fill>
    <fill>
      <patternFill patternType="solid">
        <fgColor rgb="FFFF6B3D"/>
        <bgColor indexed="64"/>
      </patternFill>
    </fill>
    <fill>
      <patternFill patternType="solid">
        <fgColor rgb="FFFFFBF9"/>
        <bgColor indexed="64"/>
      </patternFill>
    </fill>
    <fill>
      <patternFill patternType="solid">
        <fgColor rgb="FF6A240E"/>
        <bgColor indexed="64"/>
      </patternFill>
    </fill>
    <fill>
      <patternFill patternType="solid">
        <fgColor rgb="FF4C1A0A"/>
        <bgColor indexed="64"/>
      </patternFill>
    </fill>
    <fill>
      <patternFill patternType="solid">
        <fgColor rgb="FFFFE47F"/>
        <bgColor indexed="64"/>
      </patternFill>
    </fill>
    <fill>
      <patternFill patternType="solid">
        <fgColor rgb="FFCFAE34"/>
        <bgColor indexed="64"/>
      </patternFill>
    </fill>
    <fill>
      <patternFill patternType="solid">
        <fgColor rgb="FFEBC63B"/>
        <bgColor indexed="64"/>
      </patternFill>
    </fill>
    <fill>
      <patternFill patternType="solid">
        <fgColor rgb="FFFF9E7F"/>
        <bgColor indexed="64"/>
      </patternFill>
    </fill>
    <fill>
      <patternFill patternType="solid">
        <fgColor rgb="FFEB653B"/>
        <bgColor indexed="64"/>
      </patternFill>
    </fill>
    <fill>
      <patternFill patternType="solid">
        <fgColor rgb="FFCF5934"/>
        <bgColor indexed="64"/>
      </patternFill>
    </fill>
    <fill>
      <patternFill patternType="solid">
        <fgColor rgb="FFFCFBFA"/>
        <bgColor indexed="64"/>
      </patternFill>
    </fill>
    <fill>
      <patternFill patternType="solid">
        <fgColor rgb="FF502F1D"/>
        <bgColor indexed="64"/>
      </patternFill>
    </fill>
    <fill>
      <patternFill patternType="solid">
        <fgColor rgb="FFE7DAD2"/>
        <bgColor indexed="64"/>
      </patternFill>
    </fill>
    <fill>
      <patternFill patternType="solid">
        <fgColor rgb="FFA06A4D"/>
        <bgColor indexed="64"/>
      </patternFill>
    </fill>
    <fill>
      <patternFill patternType="solid">
        <fgColor rgb="FF643B24"/>
        <bgColor indexed="64"/>
      </patternFill>
    </fill>
    <fill>
      <patternFill patternType="solid">
        <fgColor rgb="FFF5F0ED"/>
        <bgColor indexed="64"/>
      </patternFill>
    </fill>
    <fill>
      <patternFill patternType="solid">
        <fgColor rgb="FFD1B7A9"/>
        <bgColor indexed="64"/>
      </patternFill>
    </fill>
    <fill>
      <patternFill patternType="solid">
        <fgColor rgb="FF77462B"/>
        <bgColor indexed="64"/>
      </patternFill>
    </fill>
    <fill>
      <patternFill patternType="solid">
        <fgColor rgb="FF874F31"/>
        <bgColor indexed="64"/>
      </patternFill>
    </fill>
    <fill>
      <patternFill patternType="solid">
        <fgColor rgb="FFB78E78"/>
        <bgColor indexed="64"/>
      </patternFill>
    </fill>
    <fill>
      <patternFill patternType="solid">
        <fgColor rgb="FF2C1A10"/>
        <bgColor indexed="64"/>
      </patternFill>
    </fill>
    <fill>
      <patternFill patternType="solid">
        <fgColor rgb="FF3D2416"/>
        <bgColor indexed="64"/>
      </patternFill>
    </fill>
    <fill>
      <patternFill patternType="solid">
        <fgColor rgb="FF32231E"/>
        <bgColor indexed="64"/>
      </patternFill>
    </fill>
    <fill>
      <patternFill patternType="solid">
        <fgColor rgb="FF241916"/>
        <bgColor indexed="64"/>
      </patternFill>
    </fill>
    <fill>
      <patternFill patternType="solid">
        <fgColor rgb="FFFCFBFB"/>
        <bgColor indexed="64"/>
      </patternFill>
    </fill>
    <fill>
      <patternFill patternType="solid">
        <fgColor rgb="FF422E27"/>
        <bgColor indexed="64"/>
      </patternFill>
    </fill>
    <fill>
      <patternFill patternType="solid">
        <fgColor rgb="FFE1D9D6"/>
        <bgColor indexed="64"/>
      </patternFill>
    </fill>
    <fill>
      <patternFill patternType="solid">
        <fgColor rgb="FFA58D85"/>
        <bgColor indexed="64"/>
      </patternFill>
    </fill>
    <fill>
      <patternFill patternType="solid">
        <fgColor rgb="FF523A31"/>
        <bgColor indexed="64"/>
      </patternFill>
    </fill>
    <fill>
      <patternFill patternType="solid">
        <fgColor rgb="FFF3F0EF"/>
        <bgColor indexed="64"/>
      </patternFill>
    </fill>
    <fill>
      <patternFill patternType="solid">
        <fgColor rgb="FFC5B6B1"/>
        <bgColor indexed="64"/>
      </patternFill>
    </fill>
    <fill>
      <patternFill patternType="solid">
        <fgColor rgb="FF62453A"/>
        <bgColor indexed="64"/>
      </patternFill>
    </fill>
    <fill>
      <patternFill patternType="solid">
        <fgColor rgb="FF6F4E42"/>
        <bgColor indexed="64"/>
      </patternFill>
    </fill>
    <fill>
      <patternFill patternType="solid">
        <fgColor rgb="FF89695E"/>
        <bgColor indexed="64"/>
      </patternFill>
    </fill>
    <fill>
      <patternFill patternType="solid">
        <fgColor rgb="FF634A31"/>
        <bgColor indexed="64"/>
      </patternFill>
    </fill>
    <fill>
      <patternFill patternType="solid">
        <fgColor rgb="FF473523"/>
        <bgColor indexed="64"/>
      </patternFill>
    </fill>
    <fill>
      <patternFill patternType="solid">
        <fgColor rgb="FFF9DFC5"/>
        <bgColor indexed="64"/>
      </patternFill>
    </fill>
    <fill>
      <patternFill patternType="solid">
        <fgColor rgb="FFDDA66E"/>
        <bgColor indexed="64"/>
      </patternFill>
    </fill>
    <fill>
      <patternFill patternType="solid">
        <fgColor rgb="FFF5CDA5"/>
        <bgColor indexed="64"/>
      </patternFill>
    </fill>
    <fill>
      <patternFill patternType="solid">
        <fgColor rgb="FFFEF8F3"/>
        <bgColor indexed="64"/>
      </patternFill>
    </fill>
    <fill>
      <patternFill patternType="solid">
        <fgColor rgb="FFA37B51"/>
        <bgColor indexed="64"/>
      </patternFill>
    </fill>
    <fill>
      <patternFill patternType="solid">
        <fgColor rgb="FFFCEEE1"/>
        <bgColor indexed="64"/>
      </patternFill>
    </fill>
    <fill>
      <patternFill patternType="solid">
        <fgColor rgb="FFC29261"/>
        <bgColor indexed="64"/>
      </patternFill>
    </fill>
    <fill>
      <patternFill patternType="solid">
        <fgColor rgb="FF826241"/>
        <bgColor indexed="64"/>
      </patternFill>
    </fill>
    <fill>
      <patternFill patternType="solid">
        <fgColor rgb="FFF2BD88"/>
        <bgColor indexed="64"/>
      </patternFill>
    </fill>
    <fill>
      <patternFill patternType="solid">
        <fgColor rgb="FF95A8B1"/>
        <bgColor indexed="64"/>
      </patternFill>
    </fill>
    <fill>
      <patternFill patternType="solid">
        <fgColor rgb="FFDCE2E5"/>
        <bgColor indexed="64"/>
      </patternFill>
    </fill>
    <fill>
      <patternFill patternType="solid">
        <fgColor rgb="FF738D99"/>
        <bgColor indexed="64"/>
      </patternFill>
    </fill>
    <fill>
      <patternFill patternType="solid">
        <fgColor rgb="FF34444C"/>
        <bgColor indexed="64"/>
      </patternFill>
    </fill>
    <fill>
      <patternFill patternType="solid">
        <fgColor rgb="FFBBC7CD"/>
        <bgColor indexed="64"/>
      </patternFill>
    </fill>
    <fill>
      <patternFill patternType="solid">
        <fgColor rgb="FF41555F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4D6571"/>
        <bgColor indexed="64"/>
      </patternFill>
    </fill>
    <fill>
      <patternFill patternType="solid">
        <fgColor rgb="FF587380"/>
        <bgColor indexed="64"/>
      </patternFill>
    </fill>
    <fill>
      <patternFill patternType="solid">
        <fgColor rgb="FFFBFCFC"/>
        <bgColor indexed="64"/>
      </patternFill>
    </fill>
    <fill>
      <patternFill patternType="solid">
        <fgColor rgb="FF28343A"/>
        <bgColor indexed="64"/>
      </patternFill>
    </fill>
    <fill>
      <patternFill patternType="solid">
        <fgColor rgb="FF1D252A"/>
        <bgColor indexed="64"/>
      </patternFill>
    </fill>
    <fill>
      <patternFill patternType="solid">
        <fgColor rgb="FFFACDDC"/>
        <bgColor indexed="64"/>
      </patternFill>
    </fill>
    <fill>
      <patternFill patternType="solid">
        <fgColor rgb="FFD61C5B"/>
        <bgColor indexed="64"/>
      </patternFill>
    </fill>
    <fill>
      <patternFill patternType="solid">
        <fgColor rgb="FF9E1543"/>
        <bgColor indexed="64"/>
      </patternFill>
    </fill>
    <fill>
      <patternFill patternType="solid">
        <fgColor rgb="FF7E1136"/>
        <bgColor indexed="64"/>
      </patternFill>
    </fill>
    <fill>
      <patternFill patternType="solid">
        <fgColor rgb="FFEC3976"/>
        <bgColor indexed="64"/>
      </patternFill>
    </fill>
    <fill>
      <patternFill patternType="solid">
        <fgColor rgb="FFFDEBF1"/>
        <bgColor indexed="64"/>
      </patternFill>
    </fill>
    <fill>
      <patternFill patternType="solid">
        <fgColor rgb="FFF69FBC"/>
        <bgColor indexed="64"/>
      </patternFill>
    </fill>
    <fill>
      <patternFill patternType="solid">
        <fgColor rgb="FFF16997"/>
        <bgColor indexed="64"/>
      </patternFill>
    </fill>
    <fill>
      <patternFill patternType="solid">
        <fgColor rgb="FFBC1950"/>
        <bgColor indexed="64"/>
      </patternFill>
    </fill>
    <fill>
      <patternFill patternType="solid">
        <fgColor rgb="FFFEF9FB"/>
        <bgColor indexed="64"/>
      </patternFill>
    </fill>
    <fill>
      <patternFill patternType="solid">
        <fgColor rgb="FF600D29"/>
        <bgColor indexed="64"/>
      </patternFill>
    </fill>
    <fill>
      <patternFill patternType="solid">
        <fgColor rgb="FF45091E"/>
        <bgColor indexed="64"/>
      </patternFill>
    </fill>
    <fill>
      <patternFill patternType="solid">
        <fgColor rgb="FFBEABE0"/>
        <bgColor indexed="64"/>
      </patternFill>
    </fill>
    <fill>
      <patternFill patternType="solid">
        <fgColor rgb="FF542F94"/>
        <bgColor indexed="64"/>
      </patternFill>
    </fill>
    <fill>
      <patternFill patternType="solid">
        <fgColor rgb="FF47277C"/>
        <bgColor indexed="64"/>
      </patternFill>
    </fill>
    <fill>
      <patternFill patternType="solid">
        <fgColor rgb="FF391F63"/>
        <bgColor indexed="64"/>
      </patternFill>
    </fill>
    <fill>
      <patternFill patternType="solid">
        <fgColor rgb="FF997CCF"/>
        <bgColor indexed="64"/>
      </patternFill>
    </fill>
    <fill>
      <patternFill patternType="solid">
        <fgColor rgb="FF5F35A8"/>
        <bgColor indexed="64"/>
      </patternFill>
    </fill>
    <fill>
      <patternFill patternType="solid">
        <fgColor rgb="FF7952C0"/>
        <bgColor indexed="64"/>
      </patternFill>
    </fill>
    <fill>
      <patternFill patternType="solid">
        <fgColor rgb="FFDDD3EF"/>
        <bgColor indexed="64"/>
      </patternFill>
    </fill>
    <fill>
      <patternFill patternType="solid">
        <fgColor rgb="FFF1EDF9"/>
        <bgColor indexed="64"/>
      </patternFill>
    </fill>
    <fill>
      <patternFill patternType="solid">
        <fgColor rgb="FFFBFAFD"/>
        <bgColor indexed="64"/>
      </patternFill>
    </fill>
    <fill>
      <patternFill patternType="solid">
        <fgColor rgb="FF2B184B"/>
        <bgColor indexed="64"/>
      </patternFill>
    </fill>
    <fill>
      <patternFill patternType="solid">
        <fgColor rgb="FF1F1136"/>
        <bgColor indexed="64"/>
      </patternFill>
    </fill>
    <fill>
      <patternFill patternType="solid">
        <fgColor rgb="FFFF7FAB"/>
        <bgColor indexed="64"/>
      </patternFill>
    </fill>
    <fill>
      <patternFill patternType="solid">
        <fgColor rgb="FFEB3B77"/>
        <bgColor indexed="64"/>
      </patternFill>
    </fill>
    <fill>
      <patternFill patternType="solid">
        <fgColor rgb="FFCF3469"/>
        <bgColor indexed="64"/>
      </patternFill>
    </fill>
    <fill>
      <patternFill patternType="solid">
        <fgColor rgb="FFA888FF"/>
        <bgColor indexed="64"/>
      </patternFill>
    </fill>
    <fill>
      <patternFill patternType="solid">
        <fgColor rgb="FF7247EB"/>
        <bgColor indexed="64"/>
      </patternFill>
    </fill>
    <fill>
      <patternFill patternType="solid">
        <fgColor rgb="FF643ECF"/>
        <bgColor indexed="64"/>
      </patternFill>
    </fill>
    <fill>
      <patternFill patternType="solid">
        <fgColor rgb="FFFEF9FA"/>
        <bgColor indexed="64"/>
      </patternFill>
    </fill>
    <fill>
      <patternFill patternType="solid">
        <fgColor rgb="FF420611"/>
        <bgColor indexed="64"/>
      </patternFill>
    </fill>
    <fill>
      <patternFill patternType="solid">
        <fgColor rgb="FFF7CBD3"/>
        <bgColor indexed="64"/>
      </patternFill>
    </fill>
    <fill>
      <patternFill patternType="solid">
        <fgColor rgb="FF780A20"/>
        <bgColor indexed="64"/>
      </patternFill>
    </fill>
    <fill>
      <patternFill patternType="solid">
        <fgColor rgb="FFF09BAB"/>
        <bgColor indexed="64"/>
      </patternFill>
    </fill>
    <fill>
      <patternFill patternType="solid">
        <fgColor rgb="FF5B0818"/>
        <bgColor indexed="64"/>
      </patternFill>
    </fill>
    <fill>
      <patternFill patternType="solid">
        <fgColor rgb="FFE7627C"/>
        <bgColor indexed="64"/>
      </patternFill>
    </fill>
    <fill>
      <patternFill patternType="solid">
        <fgColor rgb="FF960D28"/>
        <bgColor indexed="64"/>
      </patternFill>
    </fill>
    <fill>
      <patternFill patternType="solid">
        <fgColor rgb="FFE03053"/>
        <bgColor indexed="64"/>
      </patternFill>
    </fill>
    <fill>
      <patternFill patternType="solid">
        <fgColor rgb="FFB21030"/>
        <bgColor indexed="64"/>
      </patternFill>
    </fill>
    <fill>
      <patternFill patternType="solid">
        <fgColor rgb="FFCA1237"/>
        <bgColor indexed="64"/>
      </patternFill>
    </fill>
    <fill>
      <patternFill patternType="solid">
        <fgColor rgb="FFFCEAED"/>
        <bgColor indexed="64"/>
      </patternFill>
    </fill>
    <fill>
      <patternFill patternType="solid">
        <fgColor rgb="FF331538"/>
        <bgColor indexed="64"/>
      </patternFill>
    </fill>
    <fill>
      <patternFill patternType="solid">
        <fgColor rgb="FFFDFBFD"/>
        <bgColor indexed="64"/>
      </patternFill>
    </fill>
    <fill>
      <patternFill patternType="solid">
        <fgColor rgb="FFECD6F0"/>
        <bgColor indexed="64"/>
      </patternFill>
    </fill>
    <fill>
      <patternFill patternType="solid">
        <fgColor rgb="FF5D2666"/>
        <bgColor indexed="64"/>
      </patternFill>
    </fill>
    <fill>
      <patternFill patternType="solid">
        <fgColor rgb="FFDBB0E2"/>
        <bgColor indexed="64"/>
      </patternFill>
    </fill>
    <fill>
      <patternFill patternType="solid">
        <fgColor rgb="FF471D4E"/>
        <bgColor indexed="64"/>
      </patternFill>
    </fill>
    <fill>
      <patternFill patternType="solid">
        <fgColor rgb="FFC784D2"/>
        <bgColor indexed="64"/>
      </patternFill>
    </fill>
    <fill>
      <patternFill patternType="solid">
        <fgColor rgb="FFB55DC4"/>
        <bgColor indexed="64"/>
      </patternFill>
    </fill>
    <fill>
      <patternFill patternType="solid">
        <fgColor rgb="FF9D41AD"/>
        <bgColor indexed="64"/>
      </patternFill>
    </fill>
    <fill>
      <patternFill patternType="solid">
        <fgColor rgb="FF8A3998"/>
        <bgColor indexed="64"/>
      </patternFill>
    </fill>
    <fill>
      <patternFill patternType="solid">
        <fgColor rgb="FF743080"/>
        <bgColor indexed="64"/>
      </patternFill>
    </fill>
    <fill>
      <patternFill patternType="solid">
        <fgColor rgb="FFF7EFF9"/>
        <bgColor indexed="64"/>
      </patternFill>
    </fill>
    <fill>
      <patternFill patternType="solid">
        <fgColor rgb="FFEA7FFC"/>
        <bgColor indexed="64"/>
      </patternFill>
    </fill>
    <fill>
      <patternFill patternType="solid">
        <fgColor rgb="FFCE3BE7"/>
        <bgColor indexed="64"/>
      </patternFill>
    </fill>
    <fill>
      <patternFill patternType="solid">
        <fgColor rgb="FFB534CB"/>
        <bgColor indexed="64"/>
      </patternFill>
    </fill>
    <fill>
      <patternFill patternType="solid">
        <fgColor rgb="FFFFC6FF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FF92FF"/>
        <bgColor indexed="64"/>
      </patternFill>
    </fill>
    <fill>
      <patternFill patternType="solid">
        <fgColor rgb="FF6A006A"/>
        <bgColor indexed="64"/>
      </patternFill>
    </fill>
    <fill>
      <patternFill patternType="solid">
        <fgColor rgb="FFFF55FF"/>
        <bgColor indexed="64"/>
      </patternFill>
    </fill>
    <fill>
      <patternFill patternType="solid">
        <fgColor rgb="FFFF1FFF"/>
        <bgColor indexed="64"/>
      </patternFill>
    </fill>
    <fill>
      <patternFill patternType="solid">
        <fgColor rgb="FFAE00AE"/>
        <bgColor indexed="64"/>
      </patternFill>
    </fill>
    <fill>
      <patternFill patternType="solid">
        <fgColor rgb="FFEB00EB"/>
        <bgColor indexed="64"/>
      </patternFill>
    </fill>
    <fill>
      <patternFill patternType="solid">
        <fgColor rgb="FFCF00CF"/>
        <bgColor indexed="64"/>
      </patternFill>
    </fill>
    <fill>
      <patternFill patternType="solid">
        <fgColor rgb="FFFFE8FF"/>
        <bgColor indexed="64"/>
      </patternFill>
    </fill>
    <fill>
      <patternFill patternType="solid">
        <fgColor rgb="FFFFF9FF"/>
        <bgColor indexed="64"/>
      </patternFill>
    </fill>
    <fill>
      <patternFill patternType="solid">
        <fgColor rgb="FF4C004C"/>
        <bgColor indexed="64"/>
      </patternFill>
    </fill>
    <fill>
      <patternFill patternType="solid">
        <fgColor rgb="FF6A0000"/>
        <bgColor indexed="64"/>
      </patternFill>
    </fill>
    <fill>
      <patternFill patternType="solid">
        <fgColor rgb="FF4C0000"/>
        <bgColor indexed="64"/>
      </patternFill>
    </fill>
    <fill>
      <patternFill patternType="solid">
        <fgColor rgb="FFFF1F1F"/>
        <bgColor indexed="64"/>
      </patternFill>
    </fill>
    <fill>
      <patternFill patternType="solid">
        <fgColor rgb="FFFF9292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F9F9"/>
        <bgColor indexed="64"/>
      </patternFill>
    </fill>
    <fill>
      <patternFill patternType="solid">
        <fgColor rgb="FFEB0000"/>
        <bgColor indexed="64"/>
      </patternFill>
    </fill>
    <fill>
      <patternFill patternType="solid">
        <fgColor rgb="FFAE00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CF4242"/>
        <bgColor indexed="64"/>
      </patternFill>
    </fill>
    <fill>
      <patternFill patternType="solid">
        <fgColor rgb="FFEB4B4B"/>
        <bgColor indexed="64"/>
      </patternFill>
    </fill>
    <fill>
      <patternFill patternType="solid">
        <fgColor rgb="FF482A08"/>
        <bgColor indexed="64"/>
      </patternFill>
    </fill>
    <fill>
      <patternFill patternType="solid">
        <fgColor rgb="FFCA9862"/>
        <bgColor indexed="64"/>
      </patternFill>
    </fill>
    <fill>
      <patternFill patternType="solid">
        <fgColor rgb="FF77450E"/>
        <bgColor indexed="64"/>
      </patternFill>
    </fill>
    <fill>
      <patternFill patternType="solid">
        <fgColor rgb="FFF8F1EA"/>
        <bgColor indexed="64"/>
      </patternFill>
    </fill>
    <fill>
      <patternFill patternType="solid">
        <fgColor rgb="FFA15D13"/>
        <bgColor indexed="64"/>
      </patternFill>
    </fill>
    <fill>
      <patternFill patternType="solid">
        <fgColor rgb="FF341E06"/>
        <bgColor indexed="64"/>
      </patternFill>
    </fill>
    <fill>
      <patternFill patternType="solid">
        <fgColor rgb="FFEDDDCB"/>
        <bgColor indexed="64"/>
      </patternFill>
    </fill>
    <fill>
      <patternFill patternType="solid">
        <fgColor rgb="FFDDBD9B"/>
        <bgColor indexed="64"/>
      </patternFill>
    </fill>
    <fill>
      <patternFill patternType="solid">
        <fgColor rgb="FFFDFBF9"/>
        <bgColor indexed="64"/>
      </patternFill>
    </fill>
    <fill>
      <patternFill patternType="solid">
        <fgColor rgb="FF8E5211"/>
        <bgColor indexed="64"/>
      </patternFill>
    </fill>
    <fill>
      <patternFill patternType="solid">
        <fgColor rgb="FF5F370B"/>
        <bgColor indexed="64"/>
      </patternFill>
    </fill>
    <fill>
      <patternFill patternType="solid">
        <fgColor rgb="FFB97731"/>
        <bgColor indexed="64"/>
      </patternFill>
    </fill>
    <fill>
      <patternFill patternType="solid">
        <fgColor rgb="FFAF651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550">
    <xf numFmtId="0" fontId="0" fillId="0" borderId="0" xfId="0"/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49" fontId="0" fillId="11" borderId="0" xfId="0" applyNumberForma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6" borderId="0" xfId="0" applyNumberForma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24" borderId="0" xfId="0" applyNumberForma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49" fontId="0" fillId="16" borderId="0" xfId="0" applyNumberFormat="1" applyFill="1" applyAlignment="1">
      <alignment horizontal="center" vertical="center"/>
    </xf>
    <xf numFmtId="49" fontId="0" fillId="25" borderId="0" xfId="0" applyNumberFormat="1" applyFill="1" applyAlignment="1">
      <alignment horizontal="center" vertical="center"/>
    </xf>
    <xf numFmtId="49" fontId="0" fillId="17" borderId="0" xfId="0" applyNumberFormat="1" applyFill="1" applyAlignment="1">
      <alignment horizontal="center" vertical="center"/>
    </xf>
    <xf numFmtId="49" fontId="0" fillId="13" borderId="0" xfId="0" applyNumberFormat="1" applyFill="1" applyAlignment="1">
      <alignment horizontal="center" vertical="center"/>
    </xf>
    <xf numFmtId="49" fontId="0" fillId="33" borderId="0" xfId="0" applyNumberFormat="1" applyFill="1" applyAlignment="1">
      <alignment horizontal="center" vertical="center"/>
    </xf>
    <xf numFmtId="49" fontId="0" fillId="23" borderId="0" xfId="0" applyNumberFormat="1" applyFill="1" applyAlignment="1">
      <alignment horizontal="center" vertical="center"/>
    </xf>
    <xf numFmtId="49" fontId="0" fillId="12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49" fontId="0" fillId="18" borderId="0" xfId="0" applyNumberFormat="1" applyFill="1" applyAlignment="1">
      <alignment horizontal="center" vertical="center"/>
    </xf>
    <xf numFmtId="49" fontId="0" fillId="19" borderId="0" xfId="0" applyNumberFormat="1" applyFill="1" applyAlignment="1">
      <alignment horizontal="center" vertical="center"/>
    </xf>
    <xf numFmtId="49" fontId="0" fillId="20" borderId="0" xfId="0" applyNumberForma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0" fillId="30" borderId="0" xfId="0" applyNumberFormat="1" applyFill="1" applyAlignment="1">
      <alignment horizontal="center" vertical="center"/>
    </xf>
    <xf numFmtId="49" fontId="0" fillId="34" borderId="0" xfId="0" applyNumberFormat="1" applyFill="1" applyAlignment="1">
      <alignment horizontal="center" vertical="center"/>
    </xf>
    <xf numFmtId="49" fontId="0" fillId="31" borderId="0" xfId="0" applyNumberFormat="1" applyFill="1" applyAlignment="1">
      <alignment horizontal="center" vertical="center"/>
    </xf>
    <xf numFmtId="49" fontId="0" fillId="22" borderId="0" xfId="0" applyNumberFormat="1" applyFill="1" applyAlignment="1">
      <alignment horizontal="center" vertical="center"/>
    </xf>
    <xf numFmtId="49" fontId="0" fillId="27" borderId="0" xfId="0" applyNumberFormat="1" applyFill="1" applyAlignment="1">
      <alignment horizontal="center" vertical="center"/>
    </xf>
    <xf numFmtId="49" fontId="0" fillId="28" borderId="0" xfId="0" applyNumberFormat="1" applyFill="1" applyAlignment="1">
      <alignment horizontal="center" vertical="center"/>
    </xf>
    <xf numFmtId="49" fontId="0" fillId="32" borderId="0" xfId="0" applyNumberFormat="1" applyFill="1" applyAlignment="1">
      <alignment horizontal="center" vertical="center"/>
    </xf>
    <xf numFmtId="49" fontId="0" fillId="35" borderId="0" xfId="0" applyNumberFormat="1" applyFill="1" applyAlignment="1">
      <alignment horizontal="center" vertical="center"/>
    </xf>
    <xf numFmtId="49" fontId="0" fillId="36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/>
    </xf>
    <xf numFmtId="49" fontId="0" fillId="38" borderId="0" xfId="0" applyNumberFormat="1" applyFill="1" applyAlignment="1">
      <alignment horizontal="center" vertical="center"/>
    </xf>
    <xf numFmtId="49" fontId="0" fillId="39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0" fillId="41" borderId="0" xfId="0" applyNumberFormat="1" applyFill="1" applyAlignment="1">
      <alignment horizontal="center" vertical="center"/>
    </xf>
    <xf numFmtId="49" fontId="0" fillId="42" borderId="0" xfId="0" applyNumberFormat="1" applyFill="1" applyAlignment="1">
      <alignment horizontal="center" vertical="center"/>
    </xf>
    <xf numFmtId="49" fontId="0" fillId="43" borderId="0" xfId="0" applyNumberFormat="1" applyFill="1" applyAlignment="1">
      <alignment horizontal="center" vertical="center"/>
    </xf>
    <xf numFmtId="49" fontId="0" fillId="44" borderId="0" xfId="0" applyNumberFormat="1" applyFill="1" applyAlignment="1">
      <alignment horizontal="center" vertical="center"/>
    </xf>
    <xf numFmtId="49" fontId="0" fillId="45" borderId="0" xfId="0" applyNumberFormat="1" applyFill="1" applyAlignment="1">
      <alignment horizontal="center" vertical="center"/>
    </xf>
    <xf numFmtId="49" fontId="0" fillId="46" borderId="0" xfId="0" applyNumberFormat="1" applyFill="1" applyAlignment="1">
      <alignment horizontal="center" vertical="center"/>
    </xf>
    <xf numFmtId="49" fontId="0" fillId="47" borderId="0" xfId="0" applyNumberFormat="1" applyFill="1" applyAlignment="1">
      <alignment horizontal="center" vertical="center"/>
    </xf>
    <xf numFmtId="49" fontId="0" fillId="48" borderId="0" xfId="0" applyNumberFormat="1" applyFill="1" applyAlignment="1">
      <alignment horizontal="center" vertical="center"/>
    </xf>
    <xf numFmtId="49" fontId="0" fillId="49" borderId="0" xfId="0" applyNumberFormat="1" applyFill="1" applyAlignment="1">
      <alignment horizontal="center" vertical="center"/>
    </xf>
    <xf numFmtId="49" fontId="0" fillId="50" borderId="0" xfId="0" applyNumberFormat="1" applyFill="1" applyAlignment="1">
      <alignment horizontal="center" vertical="center"/>
    </xf>
    <xf numFmtId="49" fontId="0" fillId="51" borderId="0" xfId="0" applyNumberFormat="1" applyFill="1" applyAlignment="1">
      <alignment horizontal="center" vertical="center"/>
    </xf>
    <xf numFmtId="164" fontId="0" fillId="0" borderId="0" xfId="0" applyNumberFormat="1"/>
    <xf numFmtId="0" fontId="0" fillId="2" borderId="0" xfId="0" applyFill="1"/>
    <xf numFmtId="165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0" borderId="0" xfId="0" applyAlignment="1">
      <alignment horizontal="left" vertical="top"/>
    </xf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165" fontId="0" fillId="0" borderId="0" xfId="0" applyNumberFormat="1" applyAlignment="1">
      <alignment horizontal="center"/>
    </xf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1" fillId="0" borderId="0" xfId="0" applyFont="1" applyAlignment="1">
      <alignment horizontal="center" vertical="top"/>
    </xf>
    <xf numFmtId="2" fontId="1" fillId="0" borderId="0" xfId="0" applyNumberFormat="1" applyFont="1"/>
    <xf numFmtId="0" fontId="1" fillId="0" borderId="0" xfId="0" quotePrefix="1" applyFont="1" applyAlignment="1">
      <alignment horizontal="center" vertical="top"/>
    </xf>
    <xf numFmtId="1" fontId="0" fillId="0" borderId="0" xfId="0" applyNumberFormat="1" applyAlignment="1">
      <alignment horizontal="center" vertical="center"/>
    </xf>
    <xf numFmtId="0" fontId="0" fillId="15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21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4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0" borderId="1" xfId="0" applyBorder="1" applyAlignment="1">
      <alignment horizontal="center" vertical="top"/>
    </xf>
    <xf numFmtId="0" fontId="0" fillId="6" borderId="1" xfId="0" applyFill="1" applyBorder="1"/>
    <xf numFmtId="0" fontId="0" fillId="0" borderId="1" xfId="0" applyBorder="1"/>
    <xf numFmtId="165" fontId="0" fillId="0" borderId="1" xfId="0" applyNumberFormat="1" applyBorder="1" applyAlignment="1">
      <alignment horizontal="center"/>
    </xf>
    <xf numFmtId="0" fontId="2" fillId="0" borderId="1" xfId="0" applyFont="1" applyBorder="1"/>
    <xf numFmtId="0" fontId="0" fillId="2" borderId="1" xfId="0" applyFill="1" applyBorder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1" xfId="0" applyFill="1" applyBorder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165" fontId="0" fillId="0" borderId="0" xfId="0" applyNumberFormat="1" applyBorder="1" applyAlignment="1">
      <alignment horizontal="center"/>
    </xf>
    <xf numFmtId="49" fontId="0" fillId="159" borderId="0" xfId="0" applyNumberFormat="1" applyFill="1" applyAlignment="1">
      <alignment horizontal="center" vertical="center"/>
    </xf>
    <xf numFmtId="49" fontId="0" fillId="160" borderId="0" xfId="0" applyNumberFormat="1" applyFill="1" applyAlignment="1">
      <alignment horizontal="center" vertical="center"/>
    </xf>
    <xf numFmtId="49" fontId="0" fillId="161" borderId="0" xfId="0" applyNumberFormat="1" applyFill="1" applyAlignment="1">
      <alignment horizontal="center" vertical="center"/>
    </xf>
    <xf numFmtId="49" fontId="0" fillId="162" borderId="0" xfId="0" applyNumberFormat="1" applyFill="1" applyAlignment="1">
      <alignment horizontal="center" vertical="center"/>
    </xf>
    <xf numFmtId="49" fontId="0" fillId="163" borderId="0" xfId="0" applyNumberFormat="1" applyFill="1" applyAlignment="1">
      <alignment horizontal="center" vertical="center"/>
    </xf>
    <xf numFmtId="49" fontId="0" fillId="164" borderId="0" xfId="0" applyNumberFormat="1" applyFill="1" applyAlignment="1">
      <alignment horizontal="center" vertical="center"/>
    </xf>
    <xf numFmtId="49" fontId="0" fillId="165" borderId="0" xfId="0" applyNumberFormat="1" applyFill="1" applyAlignment="1">
      <alignment horizontal="center" vertical="center"/>
    </xf>
    <xf numFmtId="49" fontId="0" fillId="166" borderId="0" xfId="0" applyNumberFormat="1" applyFill="1" applyAlignment="1">
      <alignment horizontal="center" vertical="center"/>
    </xf>
    <xf numFmtId="49" fontId="0" fillId="167" borderId="0" xfId="0" applyNumberFormat="1" applyFill="1" applyAlignment="1">
      <alignment horizontal="center" vertical="center"/>
    </xf>
    <xf numFmtId="49" fontId="0" fillId="168" borderId="0" xfId="0" applyNumberFormat="1" applyFill="1" applyAlignment="1">
      <alignment horizontal="center" vertical="center"/>
    </xf>
    <xf numFmtId="49" fontId="0" fillId="169" borderId="0" xfId="0" applyNumberFormat="1" applyFill="1" applyAlignment="1">
      <alignment horizontal="center" vertical="center"/>
    </xf>
    <xf numFmtId="49" fontId="0" fillId="170" borderId="0" xfId="0" applyNumberFormat="1" applyFill="1" applyAlignment="1">
      <alignment horizontal="center" vertical="center"/>
    </xf>
    <xf numFmtId="49" fontId="0" fillId="171" borderId="0" xfId="0" applyNumberFormat="1" applyFill="1" applyAlignment="1">
      <alignment horizontal="center" vertical="center"/>
    </xf>
    <xf numFmtId="49" fontId="0" fillId="172" borderId="0" xfId="0" applyNumberFormat="1" applyFill="1" applyAlignment="1">
      <alignment horizontal="center" vertical="center"/>
    </xf>
    <xf numFmtId="49" fontId="0" fillId="173" borderId="0" xfId="0" applyNumberFormat="1" applyFill="1" applyAlignment="1">
      <alignment horizontal="center" vertical="center"/>
    </xf>
    <xf numFmtId="49" fontId="0" fillId="174" borderId="0" xfId="0" applyNumberFormat="1" applyFill="1" applyAlignment="1">
      <alignment horizontal="center" vertical="center"/>
    </xf>
    <xf numFmtId="49" fontId="0" fillId="175" borderId="0" xfId="0" applyNumberFormat="1" applyFill="1" applyAlignment="1">
      <alignment horizontal="center" vertical="center"/>
    </xf>
    <xf numFmtId="49" fontId="0" fillId="176" borderId="0" xfId="0" applyNumberFormat="1" applyFill="1" applyAlignment="1">
      <alignment horizontal="center" vertical="center"/>
    </xf>
    <xf numFmtId="49" fontId="0" fillId="177" borderId="0" xfId="0" applyNumberFormat="1" applyFill="1" applyAlignment="1">
      <alignment horizontal="center" vertical="center"/>
    </xf>
    <xf numFmtId="49" fontId="0" fillId="178" borderId="0" xfId="0" applyNumberFormat="1" applyFill="1" applyAlignment="1">
      <alignment horizontal="center" vertical="center"/>
    </xf>
    <xf numFmtId="49" fontId="0" fillId="179" borderId="0" xfId="0" applyNumberFormat="1" applyFill="1" applyAlignment="1">
      <alignment horizontal="center" vertical="center"/>
    </xf>
    <xf numFmtId="49" fontId="0" fillId="180" borderId="0" xfId="0" applyNumberFormat="1" applyFill="1" applyAlignment="1">
      <alignment horizontal="center" vertical="center"/>
    </xf>
    <xf numFmtId="49" fontId="0" fillId="181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49" fontId="0" fillId="182" borderId="0" xfId="0" applyNumberFormat="1" applyFill="1" applyAlignment="1">
      <alignment horizontal="center" vertical="center"/>
    </xf>
    <xf numFmtId="49" fontId="0" fillId="183" borderId="0" xfId="0" applyNumberFormat="1" applyFill="1" applyAlignment="1">
      <alignment horizontal="center" vertical="center"/>
    </xf>
    <xf numFmtId="49" fontId="0" fillId="184" borderId="0" xfId="0" applyNumberFormat="1" applyFill="1" applyAlignment="1">
      <alignment horizontal="center" vertical="center"/>
    </xf>
    <xf numFmtId="49" fontId="0" fillId="185" borderId="0" xfId="0" applyNumberFormat="1" applyFill="1" applyAlignment="1">
      <alignment horizontal="center" vertical="center"/>
    </xf>
    <xf numFmtId="49" fontId="0" fillId="186" borderId="0" xfId="0" applyNumberFormat="1" applyFill="1" applyAlignment="1">
      <alignment horizontal="center" vertical="center"/>
    </xf>
    <xf numFmtId="49" fontId="0" fillId="187" borderId="0" xfId="0" applyNumberFormat="1" applyFill="1" applyAlignment="1">
      <alignment horizontal="center" vertical="center"/>
    </xf>
    <xf numFmtId="49" fontId="0" fillId="188" borderId="0" xfId="0" applyNumberFormat="1" applyFill="1" applyAlignment="1">
      <alignment horizontal="center" vertical="center"/>
    </xf>
    <xf numFmtId="49" fontId="0" fillId="189" borderId="0" xfId="0" applyNumberFormat="1" applyFill="1" applyAlignment="1">
      <alignment horizontal="center" vertical="center"/>
    </xf>
    <xf numFmtId="49" fontId="0" fillId="190" borderId="0" xfId="0" applyNumberFormat="1" applyFill="1" applyAlignment="1">
      <alignment horizontal="center" vertical="center"/>
    </xf>
    <xf numFmtId="49" fontId="0" fillId="191" borderId="0" xfId="0" applyNumberFormat="1" applyFill="1" applyAlignment="1">
      <alignment horizontal="center" vertical="center"/>
    </xf>
    <xf numFmtId="49" fontId="0" fillId="192" borderId="0" xfId="0" applyNumberFormat="1" applyFill="1" applyAlignment="1">
      <alignment horizontal="center" vertical="center"/>
    </xf>
    <xf numFmtId="49" fontId="0" fillId="193" borderId="0" xfId="0" applyNumberFormat="1" applyFill="1" applyAlignment="1">
      <alignment horizontal="center" vertical="center"/>
    </xf>
    <xf numFmtId="49" fontId="0" fillId="194" borderId="0" xfId="0" applyNumberFormat="1" applyFill="1" applyAlignment="1">
      <alignment horizontal="center" vertical="center"/>
    </xf>
    <xf numFmtId="49" fontId="0" fillId="195" borderId="0" xfId="0" applyNumberFormat="1" applyFill="1" applyAlignment="1">
      <alignment horizontal="center" vertical="center"/>
    </xf>
    <xf numFmtId="49" fontId="0" fillId="196" borderId="0" xfId="0" applyNumberFormat="1" applyFill="1" applyAlignment="1">
      <alignment horizontal="center" vertical="center"/>
    </xf>
    <xf numFmtId="49" fontId="0" fillId="197" borderId="0" xfId="0" applyNumberFormat="1" applyFill="1" applyAlignment="1">
      <alignment horizontal="center" vertical="center"/>
    </xf>
    <xf numFmtId="49" fontId="0" fillId="198" borderId="0" xfId="0" applyNumberFormat="1" applyFill="1" applyAlignment="1">
      <alignment horizontal="center" vertical="center"/>
    </xf>
    <xf numFmtId="49" fontId="0" fillId="199" borderId="0" xfId="0" applyNumberFormat="1" applyFill="1" applyAlignment="1">
      <alignment horizontal="center" vertical="center"/>
    </xf>
    <xf numFmtId="49" fontId="0" fillId="200" borderId="0" xfId="0" applyNumberFormat="1" applyFill="1" applyAlignment="1">
      <alignment horizontal="center" vertical="center"/>
    </xf>
    <xf numFmtId="49" fontId="0" fillId="201" borderId="0" xfId="0" applyNumberFormat="1" applyFill="1" applyAlignment="1">
      <alignment horizontal="center" vertical="center"/>
    </xf>
    <xf numFmtId="49" fontId="0" fillId="202" borderId="0" xfId="0" applyNumberFormat="1" applyFill="1" applyAlignment="1">
      <alignment horizontal="center" vertical="center"/>
    </xf>
    <xf numFmtId="49" fontId="0" fillId="203" borderId="0" xfId="0" applyNumberFormat="1" applyFill="1" applyAlignment="1">
      <alignment horizontal="center" vertical="center"/>
    </xf>
    <xf numFmtId="49" fontId="0" fillId="204" borderId="0" xfId="0" applyNumberFormat="1" applyFill="1" applyAlignment="1">
      <alignment horizontal="center" vertical="center"/>
    </xf>
    <xf numFmtId="49" fontId="0" fillId="205" borderId="0" xfId="0" applyNumberFormat="1" applyFill="1" applyAlignment="1">
      <alignment horizontal="center" vertical="center"/>
    </xf>
    <xf numFmtId="49" fontId="0" fillId="206" borderId="0" xfId="0" applyNumberFormat="1" applyFill="1" applyAlignment="1">
      <alignment horizontal="center" vertical="center"/>
    </xf>
    <xf numFmtId="49" fontId="0" fillId="207" borderId="0" xfId="0" applyNumberFormat="1" applyFill="1" applyAlignment="1">
      <alignment horizontal="center" vertical="center"/>
    </xf>
    <xf numFmtId="49" fontId="0" fillId="208" borderId="0" xfId="0" applyNumberFormat="1" applyFill="1" applyAlignment="1">
      <alignment horizontal="center" vertical="center"/>
    </xf>
    <xf numFmtId="49" fontId="0" fillId="209" borderId="0" xfId="0" applyNumberFormat="1" applyFill="1" applyAlignment="1">
      <alignment horizontal="center" vertical="center"/>
    </xf>
    <xf numFmtId="49" fontId="0" fillId="210" borderId="0" xfId="0" applyNumberFormat="1" applyFill="1" applyAlignment="1">
      <alignment horizontal="center" vertical="center"/>
    </xf>
    <xf numFmtId="49" fontId="0" fillId="211" borderId="0" xfId="0" applyNumberFormat="1" applyFill="1" applyAlignment="1">
      <alignment horizontal="center" vertical="center"/>
    </xf>
    <xf numFmtId="49" fontId="0" fillId="212" borderId="0" xfId="0" applyNumberFormat="1" applyFill="1" applyAlignment="1">
      <alignment horizontal="center" vertical="center"/>
    </xf>
    <xf numFmtId="49" fontId="0" fillId="213" borderId="0" xfId="0" applyNumberFormat="1" applyFill="1" applyAlignment="1">
      <alignment horizontal="center" vertical="center"/>
    </xf>
    <xf numFmtId="49" fontId="0" fillId="214" borderId="0" xfId="0" applyNumberFormat="1" applyFill="1" applyAlignment="1">
      <alignment horizontal="center" vertical="center"/>
    </xf>
    <xf numFmtId="49" fontId="0" fillId="215" borderId="0" xfId="0" applyNumberFormat="1" applyFill="1" applyAlignment="1">
      <alignment horizontal="center" vertical="center"/>
    </xf>
    <xf numFmtId="49" fontId="0" fillId="216" borderId="0" xfId="0" applyNumberFormat="1" applyFill="1" applyAlignment="1">
      <alignment horizontal="center" vertical="center"/>
    </xf>
    <xf numFmtId="49" fontId="0" fillId="217" borderId="0" xfId="0" applyNumberFormat="1" applyFill="1" applyAlignment="1">
      <alignment horizontal="center" vertical="center"/>
    </xf>
    <xf numFmtId="49" fontId="0" fillId="218" borderId="0" xfId="0" applyNumberFormat="1" applyFill="1" applyAlignment="1">
      <alignment horizontal="center" vertical="center"/>
    </xf>
    <xf numFmtId="49" fontId="0" fillId="219" borderId="0" xfId="0" applyNumberFormat="1" applyFill="1" applyAlignment="1">
      <alignment horizontal="center" vertical="center"/>
    </xf>
    <xf numFmtId="49" fontId="0" fillId="220" borderId="0" xfId="0" applyNumberFormat="1" applyFill="1" applyAlignment="1">
      <alignment horizontal="center" vertical="center"/>
    </xf>
    <xf numFmtId="49" fontId="0" fillId="221" borderId="0" xfId="0" applyNumberFormat="1" applyFill="1" applyAlignment="1">
      <alignment horizontal="center" vertical="center"/>
    </xf>
    <xf numFmtId="49" fontId="0" fillId="222" borderId="0" xfId="0" applyNumberFormat="1" applyFill="1" applyAlignment="1">
      <alignment horizontal="center" vertical="center"/>
    </xf>
    <xf numFmtId="49" fontId="0" fillId="223" borderId="0" xfId="0" applyNumberFormat="1" applyFill="1" applyAlignment="1">
      <alignment horizontal="center" vertical="center"/>
    </xf>
    <xf numFmtId="49" fontId="0" fillId="224" borderId="0" xfId="0" applyNumberFormat="1" applyFill="1" applyAlignment="1">
      <alignment horizontal="center" vertical="center"/>
    </xf>
    <xf numFmtId="49" fontId="0" fillId="225" borderId="0" xfId="0" applyNumberFormat="1" applyFill="1" applyAlignment="1">
      <alignment horizontal="center" vertical="center"/>
    </xf>
    <xf numFmtId="49" fontId="0" fillId="226" borderId="0" xfId="0" applyNumberFormat="1" applyFill="1" applyAlignment="1">
      <alignment horizontal="center" vertical="center"/>
    </xf>
    <xf numFmtId="49" fontId="0" fillId="227" borderId="0" xfId="0" applyNumberFormat="1" applyFill="1" applyAlignment="1">
      <alignment horizontal="center" vertical="center"/>
    </xf>
    <xf numFmtId="49" fontId="0" fillId="228" borderId="0" xfId="0" applyNumberFormat="1" applyFill="1" applyAlignment="1">
      <alignment horizontal="center" vertical="center"/>
    </xf>
    <xf numFmtId="49" fontId="0" fillId="229" borderId="0" xfId="0" applyNumberFormat="1" applyFill="1" applyAlignment="1">
      <alignment horizontal="center" vertical="center"/>
    </xf>
    <xf numFmtId="49" fontId="0" fillId="230" borderId="0" xfId="0" applyNumberFormat="1" applyFill="1" applyAlignment="1">
      <alignment horizontal="center" vertical="center"/>
    </xf>
    <xf numFmtId="49" fontId="0" fillId="231" borderId="0" xfId="0" applyNumberFormat="1" applyFill="1" applyAlignment="1">
      <alignment horizontal="center" vertical="center"/>
    </xf>
    <xf numFmtId="49" fontId="0" fillId="232" borderId="0" xfId="0" applyNumberFormat="1" applyFill="1" applyAlignment="1">
      <alignment horizontal="center" vertical="center"/>
    </xf>
    <xf numFmtId="49" fontId="0" fillId="233" borderId="0" xfId="0" applyNumberFormat="1" applyFill="1" applyAlignment="1">
      <alignment horizontal="center" vertical="center"/>
    </xf>
    <xf numFmtId="49" fontId="0" fillId="234" borderId="0" xfId="0" applyNumberFormat="1" applyFill="1" applyAlignment="1">
      <alignment horizontal="center" vertical="center"/>
    </xf>
    <xf numFmtId="49" fontId="0" fillId="235" borderId="0" xfId="0" applyNumberFormat="1" applyFill="1" applyAlignment="1">
      <alignment horizontal="center" vertical="center"/>
    </xf>
    <xf numFmtId="49" fontId="0" fillId="236" borderId="0" xfId="0" applyNumberFormat="1" applyFill="1" applyAlignment="1">
      <alignment horizontal="center" vertical="center"/>
    </xf>
    <xf numFmtId="49" fontId="0" fillId="237" borderId="0" xfId="0" applyNumberFormat="1" applyFill="1" applyAlignment="1">
      <alignment horizontal="center" vertical="center"/>
    </xf>
    <xf numFmtId="49" fontId="0" fillId="238" borderId="0" xfId="0" applyNumberFormat="1" applyFill="1" applyAlignment="1">
      <alignment horizontal="center" vertical="center"/>
    </xf>
    <xf numFmtId="49" fontId="0" fillId="239" borderId="0" xfId="0" applyNumberFormat="1" applyFill="1" applyAlignment="1">
      <alignment horizontal="center" vertical="center"/>
    </xf>
    <xf numFmtId="49" fontId="0" fillId="240" borderId="0" xfId="0" applyNumberFormat="1" applyFill="1" applyAlignment="1">
      <alignment horizontal="center" vertical="center"/>
    </xf>
    <xf numFmtId="49" fontId="0" fillId="241" borderId="0" xfId="0" applyNumberFormat="1" applyFill="1" applyAlignment="1">
      <alignment horizontal="center" vertical="center"/>
    </xf>
    <xf numFmtId="49" fontId="0" fillId="242" borderId="0" xfId="0" applyNumberFormat="1" applyFill="1" applyAlignment="1">
      <alignment horizontal="center" vertical="center"/>
    </xf>
    <xf numFmtId="49" fontId="0" fillId="243" borderId="0" xfId="0" applyNumberFormat="1" applyFill="1" applyAlignment="1">
      <alignment horizontal="center" vertical="center"/>
    </xf>
    <xf numFmtId="49" fontId="0" fillId="244" borderId="0" xfId="0" applyNumberFormat="1" applyFill="1" applyAlignment="1">
      <alignment horizontal="center" vertical="center"/>
    </xf>
    <xf numFmtId="49" fontId="0" fillId="245" borderId="0" xfId="0" applyNumberFormat="1" applyFill="1" applyAlignment="1">
      <alignment horizontal="center" vertical="center"/>
    </xf>
    <xf numFmtId="49" fontId="0" fillId="246" borderId="0" xfId="0" applyNumberFormat="1" applyFill="1" applyAlignment="1">
      <alignment horizontal="center" vertical="center"/>
    </xf>
    <xf numFmtId="49" fontId="0" fillId="247" borderId="0" xfId="0" applyNumberFormat="1" applyFill="1" applyAlignment="1">
      <alignment horizontal="center" vertical="center"/>
    </xf>
    <xf numFmtId="49" fontId="0" fillId="248" borderId="0" xfId="0" applyNumberFormat="1" applyFill="1" applyAlignment="1">
      <alignment horizontal="center" vertical="center"/>
    </xf>
    <xf numFmtId="49" fontId="0" fillId="249" borderId="0" xfId="0" applyNumberFormat="1" applyFill="1" applyAlignment="1">
      <alignment horizontal="center" vertical="center"/>
    </xf>
    <xf numFmtId="49" fontId="0" fillId="250" borderId="0" xfId="0" applyNumberFormat="1" applyFill="1" applyAlignment="1">
      <alignment horizontal="center" vertical="center"/>
    </xf>
    <xf numFmtId="49" fontId="0" fillId="251" borderId="0" xfId="0" applyNumberFormat="1" applyFill="1" applyAlignment="1">
      <alignment horizontal="center" vertical="center"/>
    </xf>
    <xf numFmtId="49" fontId="0" fillId="252" borderId="0" xfId="0" applyNumberFormat="1" applyFill="1" applyAlignment="1">
      <alignment horizontal="center" vertical="center"/>
    </xf>
    <xf numFmtId="49" fontId="0" fillId="253" borderId="0" xfId="0" applyNumberFormat="1" applyFill="1" applyAlignment="1">
      <alignment horizontal="center" vertical="center"/>
    </xf>
    <xf numFmtId="49" fontId="0" fillId="254" borderId="0" xfId="0" applyNumberFormat="1" applyFill="1" applyAlignment="1">
      <alignment horizontal="center" vertical="center"/>
    </xf>
    <xf numFmtId="49" fontId="0" fillId="255" borderId="0" xfId="0" applyNumberFormat="1" applyFill="1" applyAlignment="1">
      <alignment horizontal="center" vertical="center"/>
    </xf>
    <xf numFmtId="49" fontId="0" fillId="256" borderId="0" xfId="0" applyNumberFormat="1" applyFill="1" applyAlignment="1">
      <alignment horizontal="center" vertical="center"/>
    </xf>
    <xf numFmtId="49" fontId="0" fillId="257" borderId="0" xfId="0" applyNumberFormat="1" applyFill="1" applyAlignment="1">
      <alignment horizontal="center" vertical="center"/>
    </xf>
    <xf numFmtId="49" fontId="0" fillId="258" borderId="0" xfId="0" applyNumberFormat="1" applyFill="1" applyAlignment="1">
      <alignment horizontal="center" vertical="center"/>
    </xf>
    <xf numFmtId="49" fontId="0" fillId="259" borderId="0" xfId="0" applyNumberFormat="1" applyFill="1" applyAlignment="1">
      <alignment horizontal="center" vertical="center"/>
    </xf>
    <xf numFmtId="49" fontId="0" fillId="260" borderId="0" xfId="0" applyNumberFormat="1" applyFill="1" applyAlignment="1">
      <alignment horizontal="center" vertical="center"/>
    </xf>
    <xf numFmtId="49" fontId="0" fillId="261" borderId="0" xfId="0" applyNumberFormat="1" applyFill="1" applyAlignment="1">
      <alignment horizontal="center" vertical="center"/>
    </xf>
    <xf numFmtId="49" fontId="0" fillId="262" borderId="0" xfId="0" applyNumberFormat="1" applyFill="1" applyAlignment="1">
      <alignment horizontal="center" vertical="center"/>
    </xf>
    <xf numFmtId="49" fontId="0" fillId="263" borderId="0" xfId="0" applyNumberFormat="1" applyFill="1" applyAlignment="1">
      <alignment horizontal="center" vertical="center"/>
    </xf>
    <xf numFmtId="49" fontId="0" fillId="264" borderId="0" xfId="0" applyNumberFormat="1" applyFill="1" applyAlignment="1">
      <alignment horizontal="center" vertical="center"/>
    </xf>
    <xf numFmtId="49" fontId="0" fillId="265" borderId="0" xfId="0" applyNumberFormat="1" applyFill="1" applyAlignment="1">
      <alignment horizontal="center" vertical="center"/>
    </xf>
    <xf numFmtId="49" fontId="0" fillId="266" borderId="0" xfId="0" applyNumberFormat="1" applyFill="1" applyAlignment="1">
      <alignment horizontal="center" vertical="center"/>
    </xf>
    <xf numFmtId="49" fontId="0" fillId="267" borderId="0" xfId="0" applyNumberFormat="1" applyFill="1" applyAlignment="1">
      <alignment horizontal="center" vertical="center"/>
    </xf>
    <xf numFmtId="49" fontId="0" fillId="268" borderId="0" xfId="0" applyNumberFormat="1" applyFill="1" applyAlignment="1">
      <alignment horizontal="center" vertical="center"/>
    </xf>
    <xf numFmtId="49" fontId="0" fillId="269" borderId="0" xfId="0" applyNumberFormat="1" applyFill="1" applyAlignment="1">
      <alignment horizontal="center" vertical="center"/>
    </xf>
    <xf numFmtId="49" fontId="0" fillId="270" borderId="0" xfId="0" applyNumberFormat="1" applyFill="1" applyAlignment="1">
      <alignment horizontal="center" vertical="center"/>
    </xf>
    <xf numFmtId="49" fontId="0" fillId="271" borderId="0" xfId="0" applyNumberFormat="1" applyFill="1" applyAlignment="1">
      <alignment horizontal="center" vertical="center"/>
    </xf>
    <xf numFmtId="49" fontId="0" fillId="272" borderId="0" xfId="0" applyNumberFormat="1" applyFill="1" applyAlignment="1">
      <alignment horizontal="center" vertical="center"/>
    </xf>
    <xf numFmtId="49" fontId="0" fillId="273" borderId="0" xfId="0" applyNumberFormat="1" applyFill="1" applyAlignment="1">
      <alignment horizontal="center" vertical="center"/>
    </xf>
    <xf numFmtId="49" fontId="0" fillId="274" borderId="0" xfId="0" applyNumberFormat="1" applyFill="1" applyAlignment="1">
      <alignment horizontal="center" vertical="center"/>
    </xf>
    <xf numFmtId="49" fontId="0" fillId="275" borderId="0" xfId="0" applyNumberFormat="1" applyFill="1" applyAlignment="1">
      <alignment horizontal="center" vertical="center"/>
    </xf>
    <xf numFmtId="49" fontId="0" fillId="276" borderId="0" xfId="0" applyNumberFormat="1" applyFill="1" applyAlignment="1">
      <alignment horizontal="center" vertical="center"/>
    </xf>
    <xf numFmtId="49" fontId="0" fillId="277" borderId="0" xfId="0" applyNumberFormat="1" applyFill="1" applyAlignment="1">
      <alignment horizontal="center" vertical="center"/>
    </xf>
    <xf numFmtId="49" fontId="0" fillId="278" borderId="0" xfId="0" applyNumberFormat="1" applyFill="1" applyAlignment="1">
      <alignment horizontal="center" vertical="center"/>
    </xf>
    <xf numFmtId="49" fontId="0" fillId="279" borderId="0" xfId="0" applyNumberFormat="1" applyFill="1" applyAlignment="1">
      <alignment horizontal="center" vertical="center"/>
    </xf>
    <xf numFmtId="49" fontId="0" fillId="280" borderId="0" xfId="0" applyNumberFormat="1" applyFill="1" applyAlignment="1">
      <alignment horizontal="center" vertical="center"/>
    </xf>
    <xf numFmtId="49" fontId="0" fillId="281" borderId="0" xfId="0" applyNumberFormat="1" applyFill="1" applyAlignment="1">
      <alignment horizontal="center" vertical="center"/>
    </xf>
    <xf numFmtId="49" fontId="0" fillId="282" borderId="0" xfId="0" applyNumberFormat="1" applyFill="1" applyAlignment="1">
      <alignment horizontal="center" vertical="center"/>
    </xf>
    <xf numFmtId="49" fontId="0" fillId="283" borderId="0" xfId="0" applyNumberFormat="1" applyFill="1" applyAlignment="1">
      <alignment horizontal="center" vertical="center"/>
    </xf>
    <xf numFmtId="49" fontId="0" fillId="284" borderId="0" xfId="0" applyNumberFormat="1" applyFill="1" applyAlignment="1">
      <alignment horizontal="center" vertical="center"/>
    </xf>
    <xf numFmtId="49" fontId="0" fillId="285" borderId="0" xfId="0" applyNumberFormat="1" applyFill="1" applyAlignment="1">
      <alignment horizontal="center" vertical="center"/>
    </xf>
    <xf numFmtId="49" fontId="0" fillId="286" borderId="0" xfId="0" applyNumberFormat="1" applyFill="1" applyAlignment="1">
      <alignment horizontal="center" vertical="center"/>
    </xf>
    <xf numFmtId="49" fontId="0" fillId="287" borderId="0" xfId="0" applyNumberFormat="1" applyFill="1" applyAlignment="1">
      <alignment horizontal="center" vertical="center"/>
    </xf>
    <xf numFmtId="49" fontId="0" fillId="288" borderId="0" xfId="0" applyNumberFormat="1" applyFill="1" applyAlignment="1">
      <alignment horizontal="center" vertical="center"/>
    </xf>
    <xf numFmtId="49" fontId="0" fillId="289" borderId="0" xfId="0" applyNumberFormat="1" applyFill="1" applyAlignment="1">
      <alignment horizontal="center" vertical="center"/>
    </xf>
    <xf numFmtId="49" fontId="0" fillId="290" borderId="0" xfId="0" applyNumberFormat="1" applyFill="1" applyAlignment="1">
      <alignment horizontal="center" vertical="center"/>
    </xf>
    <xf numFmtId="49" fontId="0" fillId="291" borderId="0" xfId="0" applyNumberFormat="1" applyFill="1" applyAlignment="1">
      <alignment horizontal="center" vertical="center"/>
    </xf>
    <xf numFmtId="49" fontId="0" fillId="292" borderId="0" xfId="0" applyNumberFormat="1" applyFill="1" applyAlignment="1">
      <alignment horizontal="center" vertical="center"/>
    </xf>
    <xf numFmtId="49" fontId="0" fillId="293" borderId="0" xfId="0" applyNumberFormat="1" applyFill="1" applyAlignment="1">
      <alignment horizontal="center" vertical="center"/>
    </xf>
    <xf numFmtId="49" fontId="0" fillId="294" borderId="0" xfId="0" applyNumberFormat="1" applyFill="1" applyAlignment="1">
      <alignment horizontal="center" vertical="center"/>
    </xf>
    <xf numFmtId="49" fontId="0" fillId="295" borderId="0" xfId="0" applyNumberFormat="1" applyFill="1" applyAlignment="1">
      <alignment horizontal="center" vertical="center"/>
    </xf>
    <xf numFmtId="49" fontId="0" fillId="296" borderId="0" xfId="0" applyNumberFormat="1" applyFill="1" applyAlignment="1">
      <alignment horizontal="center" vertical="center"/>
    </xf>
    <xf numFmtId="49" fontId="0" fillId="297" borderId="0" xfId="0" applyNumberFormat="1" applyFill="1" applyAlignment="1">
      <alignment horizontal="center" vertical="center"/>
    </xf>
    <xf numFmtId="49" fontId="0" fillId="298" borderId="0" xfId="0" applyNumberFormat="1" applyFill="1" applyAlignment="1">
      <alignment horizontal="center" vertical="center"/>
    </xf>
    <xf numFmtId="49" fontId="0" fillId="299" borderId="0" xfId="0" applyNumberFormat="1" applyFill="1" applyAlignment="1">
      <alignment horizontal="center" vertical="center"/>
    </xf>
    <xf numFmtId="49" fontId="0" fillId="300" borderId="0" xfId="0" applyNumberFormat="1" applyFill="1" applyAlignment="1">
      <alignment horizontal="center" vertical="center"/>
    </xf>
    <xf numFmtId="49" fontId="0" fillId="301" borderId="0" xfId="0" applyNumberFormat="1" applyFill="1" applyAlignment="1">
      <alignment horizontal="center" vertical="center"/>
    </xf>
    <xf numFmtId="49" fontId="0" fillId="302" borderId="0" xfId="0" applyNumberFormat="1" applyFill="1" applyAlignment="1">
      <alignment horizontal="center" vertical="center"/>
    </xf>
    <xf numFmtId="49" fontId="0" fillId="303" borderId="0" xfId="0" applyNumberFormat="1" applyFill="1" applyAlignment="1">
      <alignment horizontal="center" vertical="center"/>
    </xf>
    <xf numFmtId="49" fontId="0" fillId="304" borderId="0" xfId="0" applyNumberFormat="1" applyFill="1" applyAlignment="1">
      <alignment horizontal="center" vertical="center"/>
    </xf>
    <xf numFmtId="49" fontId="0" fillId="305" borderId="0" xfId="0" applyNumberFormat="1" applyFill="1" applyAlignment="1">
      <alignment horizontal="center" vertical="center"/>
    </xf>
    <xf numFmtId="49" fontId="0" fillId="306" borderId="0" xfId="0" applyNumberFormat="1" applyFill="1" applyAlignment="1">
      <alignment horizontal="center" vertical="center"/>
    </xf>
    <xf numFmtId="49" fontId="0" fillId="307" borderId="0" xfId="0" applyNumberFormat="1" applyFill="1" applyAlignment="1">
      <alignment horizontal="center" vertical="center"/>
    </xf>
    <xf numFmtId="49" fontId="0" fillId="308" borderId="0" xfId="0" applyNumberFormat="1" applyFill="1" applyAlignment="1">
      <alignment horizontal="center" vertical="center"/>
    </xf>
    <xf numFmtId="49" fontId="0" fillId="309" borderId="0" xfId="0" applyNumberFormat="1" applyFill="1" applyAlignment="1">
      <alignment horizontal="center" vertical="center"/>
    </xf>
    <xf numFmtId="49" fontId="0" fillId="310" borderId="0" xfId="0" applyNumberFormat="1" applyFill="1" applyAlignment="1">
      <alignment horizontal="center" vertical="center"/>
    </xf>
    <xf numFmtId="49" fontId="0" fillId="311" borderId="0" xfId="0" applyNumberFormat="1" applyFill="1" applyAlignment="1">
      <alignment horizontal="center" vertical="center"/>
    </xf>
    <xf numFmtId="49" fontId="0" fillId="312" borderId="0" xfId="0" applyNumberFormat="1" applyFill="1" applyAlignment="1">
      <alignment horizontal="center" vertical="center"/>
    </xf>
    <xf numFmtId="49" fontId="0" fillId="313" borderId="0" xfId="0" applyNumberFormat="1" applyFill="1" applyAlignment="1">
      <alignment horizontal="center" vertical="center"/>
    </xf>
    <xf numFmtId="49" fontId="0" fillId="314" borderId="0" xfId="0" applyNumberFormat="1" applyFill="1" applyAlignment="1">
      <alignment horizontal="center" vertical="center"/>
    </xf>
    <xf numFmtId="49" fontId="0" fillId="315" borderId="0" xfId="0" applyNumberFormat="1" applyFill="1" applyAlignment="1">
      <alignment horizontal="center" vertical="center"/>
    </xf>
    <xf numFmtId="49" fontId="0" fillId="316" borderId="0" xfId="0" applyNumberFormat="1" applyFill="1" applyAlignment="1">
      <alignment horizontal="center" vertical="center"/>
    </xf>
    <xf numFmtId="49" fontId="0" fillId="317" borderId="0" xfId="0" applyNumberFormat="1" applyFill="1" applyAlignment="1">
      <alignment horizontal="center" vertical="center"/>
    </xf>
    <xf numFmtId="49" fontId="0" fillId="318" borderId="0" xfId="0" applyNumberFormat="1" applyFill="1" applyAlignment="1">
      <alignment horizontal="center" vertical="center"/>
    </xf>
    <xf numFmtId="49" fontId="0" fillId="319" borderId="0" xfId="0" applyNumberFormat="1" applyFill="1" applyAlignment="1">
      <alignment horizontal="center" vertical="center"/>
    </xf>
    <xf numFmtId="49" fontId="0" fillId="320" borderId="0" xfId="0" applyNumberFormat="1" applyFill="1" applyAlignment="1">
      <alignment horizontal="center" vertical="center"/>
    </xf>
    <xf numFmtId="49" fontId="0" fillId="321" borderId="0" xfId="0" applyNumberFormat="1" applyFill="1" applyAlignment="1">
      <alignment horizontal="center" vertical="center"/>
    </xf>
    <xf numFmtId="49" fontId="0" fillId="322" borderId="0" xfId="0" applyNumberFormat="1" applyFill="1" applyAlignment="1">
      <alignment horizontal="center" vertical="center"/>
    </xf>
    <xf numFmtId="49" fontId="0" fillId="323" borderId="0" xfId="0" applyNumberFormat="1" applyFill="1" applyAlignment="1">
      <alignment horizontal="center" vertical="center"/>
    </xf>
    <xf numFmtId="49" fontId="0" fillId="324" borderId="0" xfId="0" applyNumberFormat="1" applyFill="1" applyAlignment="1">
      <alignment horizontal="center" vertical="center"/>
    </xf>
    <xf numFmtId="49" fontId="0" fillId="325" borderId="0" xfId="0" applyNumberFormat="1" applyFill="1" applyAlignment="1">
      <alignment horizontal="center" vertical="center"/>
    </xf>
    <xf numFmtId="49" fontId="0" fillId="326" borderId="0" xfId="0" applyNumberFormat="1" applyFill="1" applyAlignment="1">
      <alignment horizontal="center" vertical="center"/>
    </xf>
    <xf numFmtId="49" fontId="0" fillId="327" borderId="0" xfId="0" applyNumberFormat="1" applyFill="1" applyAlignment="1">
      <alignment horizontal="center" vertical="center"/>
    </xf>
    <xf numFmtId="49" fontId="0" fillId="328" borderId="0" xfId="0" applyNumberFormat="1" applyFill="1" applyAlignment="1">
      <alignment horizontal="center" vertical="center"/>
    </xf>
    <xf numFmtId="49" fontId="0" fillId="329" borderId="0" xfId="0" applyNumberFormat="1" applyFill="1" applyAlignment="1">
      <alignment horizontal="center" vertical="center"/>
    </xf>
    <xf numFmtId="49" fontId="0" fillId="330" borderId="0" xfId="0" applyNumberFormat="1" applyFill="1" applyAlignment="1">
      <alignment horizontal="center" vertical="center"/>
    </xf>
    <xf numFmtId="49" fontId="0" fillId="331" borderId="0" xfId="0" applyNumberFormat="1" applyFill="1" applyAlignment="1">
      <alignment horizontal="center" vertical="center"/>
    </xf>
    <xf numFmtId="49" fontId="0" fillId="332" borderId="0" xfId="0" applyNumberFormat="1" applyFill="1" applyAlignment="1">
      <alignment horizontal="center" vertical="center"/>
    </xf>
    <xf numFmtId="49" fontId="0" fillId="333" borderId="0" xfId="0" applyNumberFormat="1" applyFill="1" applyAlignment="1">
      <alignment horizontal="center" vertical="center"/>
    </xf>
    <xf numFmtId="49" fontId="0" fillId="334" borderId="0" xfId="0" applyNumberFormat="1" applyFill="1" applyAlignment="1">
      <alignment horizontal="center" vertical="center"/>
    </xf>
    <xf numFmtId="49" fontId="0" fillId="335" borderId="0" xfId="0" applyNumberFormat="1" applyFill="1" applyAlignment="1">
      <alignment horizontal="center" vertical="center"/>
    </xf>
    <xf numFmtId="49" fontId="0" fillId="336" borderId="0" xfId="0" applyNumberFormat="1" applyFill="1" applyAlignment="1">
      <alignment horizontal="center" vertical="center"/>
    </xf>
    <xf numFmtId="49" fontId="0" fillId="337" borderId="0" xfId="0" applyNumberFormat="1" applyFill="1" applyAlignment="1">
      <alignment horizontal="center" vertical="center"/>
    </xf>
    <xf numFmtId="49" fontId="0" fillId="338" borderId="0" xfId="0" applyNumberFormat="1" applyFill="1" applyAlignment="1">
      <alignment horizontal="center" vertical="center"/>
    </xf>
    <xf numFmtId="49" fontId="0" fillId="339" borderId="0" xfId="0" applyNumberFormat="1" applyFill="1" applyAlignment="1">
      <alignment horizontal="center" vertical="center"/>
    </xf>
    <xf numFmtId="49" fontId="0" fillId="340" borderId="0" xfId="0" applyNumberFormat="1" applyFill="1" applyAlignment="1">
      <alignment horizontal="center" vertical="center"/>
    </xf>
    <xf numFmtId="49" fontId="0" fillId="341" borderId="0" xfId="0" applyNumberFormat="1" applyFill="1" applyAlignment="1">
      <alignment horizontal="center" vertical="center"/>
    </xf>
    <xf numFmtId="49" fontId="0" fillId="342" borderId="0" xfId="0" applyNumberFormat="1" applyFill="1" applyAlignment="1">
      <alignment horizontal="center" vertical="center"/>
    </xf>
    <xf numFmtId="49" fontId="0" fillId="343" borderId="0" xfId="0" applyNumberFormat="1" applyFill="1" applyAlignment="1">
      <alignment horizontal="center" vertical="center"/>
    </xf>
    <xf numFmtId="49" fontId="0" fillId="344" borderId="0" xfId="0" applyNumberFormat="1" applyFill="1" applyAlignment="1">
      <alignment horizontal="center" vertical="center"/>
    </xf>
    <xf numFmtId="49" fontId="0" fillId="345" borderId="0" xfId="0" applyNumberFormat="1" applyFill="1" applyAlignment="1">
      <alignment horizontal="center" vertical="center"/>
    </xf>
    <xf numFmtId="49" fontId="0" fillId="346" borderId="0" xfId="0" applyNumberFormat="1" applyFill="1" applyAlignment="1">
      <alignment horizontal="center" vertical="center"/>
    </xf>
    <xf numFmtId="49" fontId="0" fillId="347" borderId="0" xfId="0" applyNumberFormat="1" applyFill="1" applyAlignment="1">
      <alignment horizontal="center" vertical="center"/>
    </xf>
    <xf numFmtId="49" fontId="0" fillId="348" borderId="0" xfId="0" applyNumberFormat="1" applyFill="1" applyAlignment="1">
      <alignment horizontal="center" vertical="center"/>
    </xf>
    <xf numFmtId="49" fontId="0" fillId="349" borderId="0" xfId="0" applyNumberFormat="1" applyFill="1" applyAlignment="1">
      <alignment horizontal="center" vertical="center"/>
    </xf>
    <xf numFmtId="49" fontId="0" fillId="350" borderId="0" xfId="0" applyNumberFormat="1" applyFill="1" applyAlignment="1">
      <alignment horizontal="center" vertical="center"/>
    </xf>
    <xf numFmtId="49" fontId="0" fillId="351" borderId="0" xfId="0" applyNumberFormat="1" applyFill="1" applyAlignment="1">
      <alignment horizontal="center" vertical="center"/>
    </xf>
    <xf numFmtId="49" fontId="0" fillId="352" borderId="0" xfId="0" applyNumberFormat="1" applyFill="1" applyAlignment="1">
      <alignment horizontal="center" vertical="center"/>
    </xf>
    <xf numFmtId="49" fontId="0" fillId="353" borderId="0" xfId="0" applyNumberFormat="1" applyFill="1" applyAlignment="1">
      <alignment horizontal="center" vertical="center"/>
    </xf>
    <xf numFmtId="49" fontId="0" fillId="354" borderId="0" xfId="0" applyNumberFormat="1" applyFill="1" applyAlignment="1">
      <alignment horizontal="center" vertical="center"/>
    </xf>
    <xf numFmtId="49" fontId="0" fillId="355" borderId="0" xfId="0" applyNumberFormat="1" applyFill="1" applyAlignment="1">
      <alignment horizontal="center" vertical="center"/>
    </xf>
    <xf numFmtId="49" fontId="0" fillId="356" borderId="0" xfId="0" applyNumberFormat="1" applyFill="1" applyAlignment="1">
      <alignment horizontal="center" vertical="center"/>
    </xf>
    <xf numFmtId="49" fontId="0" fillId="357" borderId="0" xfId="0" applyNumberFormat="1" applyFill="1" applyAlignment="1">
      <alignment horizontal="center" vertical="center"/>
    </xf>
    <xf numFmtId="49" fontId="0" fillId="358" borderId="0" xfId="0" applyNumberFormat="1" applyFill="1" applyAlignment="1">
      <alignment horizontal="center" vertical="center"/>
    </xf>
    <xf numFmtId="49" fontId="0" fillId="359" borderId="0" xfId="0" applyNumberFormat="1" applyFill="1" applyAlignment="1">
      <alignment horizontal="center" vertical="center"/>
    </xf>
    <xf numFmtId="49" fontId="0" fillId="360" borderId="0" xfId="0" applyNumberFormat="1" applyFill="1" applyAlignment="1">
      <alignment horizontal="center" vertical="center"/>
    </xf>
    <xf numFmtId="49" fontId="0" fillId="361" borderId="0" xfId="0" applyNumberFormat="1" applyFill="1" applyAlignment="1">
      <alignment horizontal="center" vertical="center"/>
    </xf>
    <xf numFmtId="49" fontId="0" fillId="362" borderId="0" xfId="0" applyNumberFormat="1" applyFill="1" applyAlignment="1">
      <alignment horizontal="center" vertical="center"/>
    </xf>
    <xf numFmtId="49" fontId="0" fillId="363" borderId="0" xfId="0" applyNumberFormat="1" applyFill="1" applyAlignment="1">
      <alignment horizontal="center" vertical="center"/>
    </xf>
    <xf numFmtId="49" fontId="0" fillId="364" borderId="0" xfId="0" applyNumberFormat="1" applyFill="1" applyAlignment="1">
      <alignment horizontal="center" vertical="center"/>
    </xf>
    <xf numFmtId="49" fontId="0" fillId="365" borderId="0" xfId="0" applyNumberFormat="1" applyFill="1" applyAlignment="1">
      <alignment horizontal="center" vertical="center"/>
    </xf>
    <xf numFmtId="49" fontId="0" fillId="366" borderId="0" xfId="0" applyNumberFormat="1" applyFill="1" applyAlignment="1">
      <alignment horizontal="center" vertical="center"/>
    </xf>
    <xf numFmtId="49" fontId="0" fillId="367" borderId="0" xfId="0" applyNumberFormat="1" applyFill="1" applyAlignment="1">
      <alignment horizontal="center" vertical="center"/>
    </xf>
    <xf numFmtId="49" fontId="0" fillId="368" borderId="0" xfId="0" applyNumberFormat="1" applyFill="1" applyAlignment="1">
      <alignment horizontal="center" vertical="center"/>
    </xf>
    <xf numFmtId="49" fontId="0" fillId="369" borderId="0" xfId="0" applyNumberFormat="1" applyFill="1" applyAlignment="1">
      <alignment horizontal="center" vertical="center"/>
    </xf>
    <xf numFmtId="49" fontId="0" fillId="370" borderId="0" xfId="0" applyNumberFormat="1" applyFill="1" applyAlignment="1">
      <alignment horizontal="center" vertical="center"/>
    </xf>
    <xf numFmtId="49" fontId="0" fillId="371" borderId="0" xfId="0" applyNumberFormat="1" applyFill="1" applyAlignment="1">
      <alignment horizontal="center" vertical="center"/>
    </xf>
    <xf numFmtId="49" fontId="0" fillId="372" borderId="0" xfId="0" applyNumberFormat="1" applyFill="1" applyAlignment="1">
      <alignment horizontal="center" vertical="center"/>
    </xf>
    <xf numFmtId="49" fontId="0" fillId="373" borderId="0" xfId="0" applyNumberFormat="1" applyFill="1" applyAlignment="1">
      <alignment horizontal="center" vertical="center"/>
    </xf>
    <xf numFmtId="49" fontId="0" fillId="374" borderId="0" xfId="0" applyNumberFormat="1" applyFill="1" applyAlignment="1">
      <alignment horizontal="center" vertical="center"/>
    </xf>
    <xf numFmtId="49" fontId="0" fillId="375" borderId="0" xfId="0" applyNumberFormat="1" applyFill="1" applyAlignment="1">
      <alignment horizontal="center" vertical="center"/>
    </xf>
    <xf numFmtId="49" fontId="0" fillId="376" borderId="0" xfId="0" applyNumberFormat="1" applyFill="1" applyAlignment="1">
      <alignment horizontal="center" vertical="center"/>
    </xf>
    <xf numFmtId="49" fontId="0" fillId="377" borderId="0" xfId="0" applyNumberFormat="1" applyFill="1" applyAlignment="1">
      <alignment horizontal="center" vertical="center"/>
    </xf>
    <xf numFmtId="49" fontId="0" fillId="378" borderId="0" xfId="0" applyNumberFormat="1" applyFill="1" applyAlignment="1">
      <alignment horizontal="center" vertical="center"/>
    </xf>
    <xf numFmtId="49" fontId="0" fillId="379" borderId="0" xfId="0" applyNumberFormat="1" applyFill="1" applyAlignment="1">
      <alignment horizontal="center" vertical="center"/>
    </xf>
    <xf numFmtId="49" fontId="0" fillId="380" borderId="0" xfId="0" applyNumberFormat="1" applyFill="1" applyAlignment="1">
      <alignment horizontal="center" vertical="center"/>
    </xf>
    <xf numFmtId="49" fontId="0" fillId="381" borderId="0" xfId="0" applyNumberFormat="1" applyFill="1" applyAlignment="1">
      <alignment horizontal="center" vertical="center"/>
    </xf>
    <xf numFmtId="49" fontId="0" fillId="382" borderId="0" xfId="0" applyNumberFormat="1" applyFill="1" applyAlignment="1">
      <alignment horizontal="center" vertical="center"/>
    </xf>
    <xf numFmtId="49" fontId="0" fillId="383" borderId="0" xfId="0" applyNumberFormat="1" applyFill="1" applyAlignment="1">
      <alignment horizontal="center" vertical="center"/>
    </xf>
    <xf numFmtId="49" fontId="0" fillId="384" borderId="0" xfId="0" applyNumberFormat="1" applyFill="1" applyAlignment="1">
      <alignment horizontal="center" vertical="center"/>
    </xf>
    <xf numFmtId="49" fontId="0" fillId="385" borderId="0" xfId="0" applyNumberFormat="1" applyFill="1" applyAlignment="1">
      <alignment horizontal="center" vertical="center"/>
    </xf>
    <xf numFmtId="49" fontId="0" fillId="144" borderId="0" xfId="0" applyNumberFormat="1" applyFill="1" applyAlignment="1">
      <alignment horizontal="center" vertical="center"/>
    </xf>
    <xf numFmtId="49" fontId="0" fillId="386" borderId="0" xfId="0" applyNumberFormat="1" applyFill="1" applyAlignment="1">
      <alignment horizontal="center" vertical="center"/>
    </xf>
    <xf numFmtId="49" fontId="0" fillId="387" borderId="0" xfId="0" applyNumberFormat="1" applyFill="1" applyAlignment="1">
      <alignment horizontal="center" vertical="center"/>
    </xf>
    <xf numFmtId="49" fontId="0" fillId="388" borderId="0" xfId="0" applyNumberFormat="1" applyFill="1" applyAlignment="1">
      <alignment horizontal="center" vertical="center"/>
    </xf>
    <xf numFmtId="49" fontId="0" fillId="389" borderId="0" xfId="0" applyNumberFormat="1" applyFill="1" applyAlignment="1">
      <alignment horizontal="center" vertical="center"/>
    </xf>
    <xf numFmtId="49" fontId="0" fillId="390" borderId="0" xfId="0" applyNumberFormat="1" applyFill="1" applyAlignment="1">
      <alignment horizontal="center" vertical="center"/>
    </xf>
    <xf numFmtId="49" fontId="0" fillId="391" borderId="0" xfId="0" applyNumberFormat="1" applyFill="1" applyAlignment="1">
      <alignment horizontal="center" vertical="center"/>
    </xf>
    <xf numFmtId="49" fontId="0" fillId="392" borderId="0" xfId="0" applyNumberFormat="1" applyFill="1" applyAlignment="1">
      <alignment horizontal="center" vertical="center"/>
    </xf>
    <xf numFmtId="49" fontId="0" fillId="393" borderId="0" xfId="0" applyNumberFormat="1" applyFill="1" applyAlignment="1">
      <alignment horizontal="center" vertical="center"/>
    </xf>
    <xf numFmtId="49" fontId="0" fillId="394" borderId="0" xfId="0" applyNumberFormat="1" applyFill="1" applyAlignment="1">
      <alignment horizontal="center" vertical="center"/>
    </xf>
    <xf numFmtId="49" fontId="0" fillId="395" borderId="0" xfId="0" applyNumberFormat="1" applyFill="1" applyAlignment="1">
      <alignment horizontal="center" vertical="center"/>
    </xf>
    <xf numFmtId="49" fontId="0" fillId="396" borderId="0" xfId="0" applyNumberFormat="1" applyFill="1" applyAlignment="1">
      <alignment horizontal="center" vertical="center"/>
    </xf>
    <xf numFmtId="49" fontId="0" fillId="397" borderId="0" xfId="0" applyNumberFormat="1" applyFill="1" applyAlignment="1">
      <alignment horizontal="center" vertical="center"/>
    </xf>
    <xf numFmtId="49" fontId="0" fillId="398" borderId="0" xfId="0" applyNumberFormat="1" applyFill="1" applyAlignment="1">
      <alignment horizontal="center" vertical="center"/>
    </xf>
    <xf numFmtId="49" fontId="0" fillId="399" borderId="0" xfId="0" applyNumberFormat="1" applyFill="1" applyAlignment="1">
      <alignment horizontal="center" vertical="center"/>
    </xf>
    <xf numFmtId="49" fontId="0" fillId="400" borderId="0" xfId="0" applyNumberFormat="1" applyFill="1" applyAlignment="1">
      <alignment horizontal="center" vertical="center"/>
    </xf>
    <xf numFmtId="49" fontId="0" fillId="401" borderId="0" xfId="0" applyNumberFormat="1" applyFill="1" applyAlignment="1">
      <alignment horizontal="center" vertical="center"/>
    </xf>
    <xf numFmtId="49" fontId="0" fillId="402" borderId="0" xfId="0" applyNumberFormat="1" applyFill="1" applyAlignment="1">
      <alignment horizontal="center" vertical="center"/>
    </xf>
    <xf numFmtId="49" fontId="0" fillId="403" borderId="0" xfId="0" applyNumberFormat="1" applyFill="1" applyAlignment="1">
      <alignment horizontal="center" vertical="center"/>
    </xf>
    <xf numFmtId="49" fontId="0" fillId="404" borderId="0" xfId="0" applyNumberFormat="1" applyFill="1" applyAlignment="1">
      <alignment horizontal="center" vertical="center"/>
    </xf>
    <xf numFmtId="49" fontId="0" fillId="405" borderId="0" xfId="0" applyNumberFormat="1" applyFill="1" applyAlignment="1">
      <alignment horizontal="center" vertical="center"/>
    </xf>
    <xf numFmtId="49" fontId="0" fillId="406" borderId="0" xfId="0" applyNumberFormat="1" applyFill="1" applyAlignment="1">
      <alignment horizontal="center" vertical="center"/>
    </xf>
    <xf numFmtId="49" fontId="0" fillId="407" borderId="0" xfId="0" applyNumberFormat="1" applyFill="1" applyAlignment="1">
      <alignment horizontal="center" vertical="center"/>
    </xf>
    <xf numFmtId="49" fontId="0" fillId="408" borderId="0" xfId="0" applyNumberFormat="1" applyFill="1" applyAlignment="1">
      <alignment horizontal="center" vertical="center"/>
    </xf>
    <xf numFmtId="49" fontId="0" fillId="409" borderId="0" xfId="0" applyNumberFormat="1" applyFill="1" applyAlignment="1">
      <alignment horizontal="center" vertical="center"/>
    </xf>
    <xf numFmtId="49" fontId="0" fillId="410" borderId="0" xfId="0" applyNumberFormat="1" applyFill="1" applyAlignment="1">
      <alignment horizontal="center" vertical="center"/>
    </xf>
    <xf numFmtId="49" fontId="0" fillId="411" borderId="0" xfId="0" applyNumberFormat="1" applyFill="1" applyAlignment="1">
      <alignment horizontal="center" vertical="center"/>
    </xf>
    <xf numFmtId="49" fontId="0" fillId="412" borderId="0" xfId="0" applyNumberFormat="1" applyFill="1" applyAlignment="1">
      <alignment horizontal="center" vertical="center"/>
    </xf>
    <xf numFmtId="49" fontId="0" fillId="413" borderId="0" xfId="0" applyNumberFormat="1" applyFill="1" applyAlignment="1">
      <alignment horizontal="center" vertical="center"/>
    </xf>
    <xf numFmtId="49" fontId="0" fillId="414" borderId="0" xfId="0" applyNumberFormat="1" applyFill="1" applyAlignment="1">
      <alignment horizontal="center" vertical="center"/>
    </xf>
    <xf numFmtId="49" fontId="0" fillId="415" borderId="0" xfId="0" applyNumberFormat="1" applyFill="1" applyAlignment="1">
      <alignment horizontal="center" vertical="center"/>
    </xf>
    <xf numFmtId="49" fontId="0" fillId="416" borderId="0" xfId="0" applyNumberFormat="1" applyFill="1" applyAlignment="1">
      <alignment horizontal="center" vertical="center"/>
    </xf>
    <xf numFmtId="49" fontId="0" fillId="417" borderId="0" xfId="0" applyNumberFormat="1" applyFill="1" applyAlignment="1">
      <alignment horizontal="center" vertical="center"/>
    </xf>
    <xf numFmtId="49" fontId="0" fillId="418" borderId="0" xfId="0" applyNumberFormat="1" applyFill="1" applyAlignment="1">
      <alignment horizontal="center" vertical="center"/>
    </xf>
    <xf numFmtId="49" fontId="0" fillId="419" borderId="0" xfId="0" applyNumberFormat="1" applyFill="1" applyAlignment="1">
      <alignment horizontal="center" vertical="center"/>
    </xf>
    <xf numFmtId="49" fontId="0" fillId="420" borderId="0" xfId="0" applyNumberFormat="1" applyFill="1" applyAlignment="1">
      <alignment horizontal="center" vertical="center"/>
    </xf>
    <xf numFmtId="49" fontId="0" fillId="421" borderId="0" xfId="0" applyNumberFormat="1" applyFill="1" applyAlignment="1">
      <alignment horizontal="center" vertical="center"/>
    </xf>
    <xf numFmtId="49" fontId="0" fillId="422" borderId="0" xfId="0" applyNumberFormat="1" applyFill="1" applyAlignment="1">
      <alignment horizontal="center" vertical="center"/>
    </xf>
    <xf numFmtId="49" fontId="0" fillId="423" borderId="0" xfId="0" applyNumberFormat="1" applyFill="1" applyAlignment="1">
      <alignment horizontal="center" vertical="center"/>
    </xf>
    <xf numFmtId="49" fontId="0" fillId="424" borderId="0" xfId="0" applyNumberFormat="1" applyFill="1" applyAlignment="1">
      <alignment horizontal="center" vertical="center"/>
    </xf>
    <xf numFmtId="49" fontId="0" fillId="425" borderId="0" xfId="0" applyNumberFormat="1" applyFill="1" applyAlignment="1">
      <alignment horizontal="center" vertical="center"/>
    </xf>
    <xf numFmtId="49" fontId="0" fillId="426" borderId="0" xfId="0" applyNumberFormat="1" applyFill="1" applyAlignment="1">
      <alignment horizontal="center" vertical="center"/>
    </xf>
    <xf numFmtId="49" fontId="0" fillId="427" borderId="0" xfId="0" applyNumberFormat="1" applyFill="1" applyAlignment="1">
      <alignment horizontal="center" vertical="center"/>
    </xf>
    <xf numFmtId="49" fontId="0" fillId="428" borderId="0" xfId="0" applyNumberFormat="1" applyFill="1" applyAlignment="1">
      <alignment horizontal="center" vertical="center"/>
    </xf>
    <xf numFmtId="49" fontId="0" fillId="429" borderId="0" xfId="0" applyNumberFormat="1" applyFill="1" applyAlignment="1">
      <alignment horizontal="center" vertical="center"/>
    </xf>
    <xf numFmtId="49" fontId="0" fillId="430" borderId="0" xfId="0" applyNumberFormat="1" applyFill="1" applyAlignment="1">
      <alignment horizontal="center" vertical="center"/>
    </xf>
    <xf numFmtId="49" fontId="0" fillId="431" borderId="0" xfId="0" applyNumberFormat="1" applyFill="1" applyAlignment="1">
      <alignment horizontal="center" vertical="center"/>
    </xf>
    <xf numFmtId="49" fontId="0" fillId="432" borderId="0" xfId="0" applyNumberFormat="1" applyFill="1" applyAlignment="1">
      <alignment horizontal="center" vertical="center"/>
    </xf>
    <xf numFmtId="49" fontId="0" fillId="433" borderId="0" xfId="0" applyNumberFormat="1" applyFill="1" applyAlignment="1">
      <alignment horizontal="center" vertical="center"/>
    </xf>
    <xf numFmtId="49" fontId="0" fillId="434" borderId="0" xfId="0" applyNumberFormat="1" applyFill="1" applyAlignment="1">
      <alignment horizontal="center" vertical="center"/>
    </xf>
    <xf numFmtId="49" fontId="0" fillId="435" borderId="0" xfId="0" applyNumberFormat="1" applyFill="1" applyAlignment="1">
      <alignment horizontal="center" vertical="center"/>
    </xf>
    <xf numFmtId="49" fontId="0" fillId="436" borderId="0" xfId="0" applyNumberFormat="1" applyFill="1" applyAlignment="1">
      <alignment horizontal="center" vertical="center"/>
    </xf>
    <xf numFmtId="49" fontId="0" fillId="437" borderId="0" xfId="0" applyNumberFormat="1" applyFill="1" applyAlignment="1">
      <alignment horizontal="center" vertical="center"/>
    </xf>
    <xf numFmtId="49" fontId="0" fillId="438" borderId="0" xfId="0" applyNumberFormat="1" applyFill="1" applyAlignment="1">
      <alignment horizontal="center" vertical="center"/>
    </xf>
    <xf numFmtId="49" fontId="0" fillId="439" borderId="0" xfId="0" applyNumberFormat="1" applyFill="1" applyAlignment="1">
      <alignment horizontal="center" vertical="center"/>
    </xf>
    <xf numFmtId="49" fontId="0" fillId="440" borderId="0" xfId="0" applyNumberFormat="1" applyFill="1" applyAlignment="1">
      <alignment horizontal="center" vertical="center"/>
    </xf>
    <xf numFmtId="49" fontId="0" fillId="441" borderId="0" xfId="0" applyNumberFormat="1" applyFill="1" applyAlignment="1">
      <alignment horizontal="center" vertical="center"/>
    </xf>
    <xf numFmtId="49" fontId="0" fillId="442" borderId="0" xfId="0" applyNumberFormat="1" applyFill="1" applyAlignment="1">
      <alignment horizontal="center" vertical="center"/>
    </xf>
    <xf numFmtId="49" fontId="0" fillId="443" borderId="0" xfId="0" applyNumberFormat="1" applyFill="1" applyAlignment="1">
      <alignment horizontal="center" vertical="center"/>
    </xf>
    <xf numFmtId="49" fontId="0" fillId="444" borderId="0" xfId="0" applyNumberFormat="1" applyFill="1" applyAlignment="1">
      <alignment horizontal="center" vertical="center"/>
    </xf>
    <xf numFmtId="49" fontId="0" fillId="445" borderId="0" xfId="0" applyNumberFormat="1" applyFill="1" applyAlignment="1">
      <alignment horizontal="center" vertical="center"/>
    </xf>
    <xf numFmtId="49" fontId="0" fillId="446" borderId="0" xfId="0" applyNumberFormat="1" applyFill="1" applyAlignment="1">
      <alignment horizontal="center" vertical="center"/>
    </xf>
    <xf numFmtId="49" fontId="0" fillId="447" borderId="0" xfId="0" applyNumberFormat="1" applyFill="1" applyAlignment="1">
      <alignment horizontal="center" vertical="center"/>
    </xf>
    <xf numFmtId="49" fontId="0" fillId="448" borderId="0" xfId="0" applyNumberFormat="1" applyFill="1" applyAlignment="1">
      <alignment horizontal="center" vertical="center"/>
    </xf>
    <xf numFmtId="49" fontId="0" fillId="449" borderId="0" xfId="0" applyNumberFormat="1" applyFill="1" applyAlignment="1">
      <alignment horizontal="center" vertical="center"/>
    </xf>
    <xf numFmtId="49" fontId="0" fillId="450" borderId="0" xfId="0" applyNumberFormat="1" applyFill="1" applyAlignment="1">
      <alignment horizontal="center" vertical="center"/>
    </xf>
    <xf numFmtId="49" fontId="0" fillId="451" borderId="0" xfId="0" applyNumberFormat="1" applyFill="1" applyAlignment="1">
      <alignment horizontal="center" vertical="center"/>
    </xf>
    <xf numFmtId="49" fontId="0" fillId="452" borderId="0" xfId="0" applyNumberFormat="1" applyFill="1" applyAlignment="1">
      <alignment horizontal="center" vertical="center"/>
    </xf>
    <xf numFmtId="49" fontId="0" fillId="453" borderId="0" xfId="0" applyNumberFormat="1" applyFill="1" applyAlignment="1">
      <alignment horizontal="center" vertical="center"/>
    </xf>
    <xf numFmtId="49" fontId="0" fillId="454" borderId="0" xfId="0" applyNumberFormat="1" applyFill="1" applyAlignment="1">
      <alignment horizontal="center" vertical="center"/>
    </xf>
    <xf numFmtId="49" fontId="0" fillId="455" borderId="0" xfId="0" applyNumberFormat="1" applyFill="1" applyAlignment="1">
      <alignment horizontal="center" vertical="center"/>
    </xf>
    <xf numFmtId="49" fontId="0" fillId="456" borderId="0" xfId="0" applyNumberFormat="1" applyFill="1" applyAlignment="1">
      <alignment horizontal="center" vertical="center"/>
    </xf>
    <xf numFmtId="49" fontId="0" fillId="457" borderId="0" xfId="0" applyNumberFormat="1" applyFill="1" applyAlignment="1">
      <alignment horizontal="center" vertical="center"/>
    </xf>
    <xf numFmtId="49" fontId="0" fillId="458" borderId="0" xfId="0" applyNumberFormat="1" applyFill="1" applyAlignment="1">
      <alignment horizontal="center" vertical="center"/>
    </xf>
    <xf numFmtId="49" fontId="0" fillId="459" borderId="0" xfId="0" applyNumberFormat="1" applyFill="1" applyAlignment="1">
      <alignment horizontal="center" vertical="center"/>
    </xf>
    <xf numFmtId="49" fontId="0" fillId="460" borderId="0" xfId="0" applyNumberFormat="1" applyFill="1" applyAlignment="1">
      <alignment horizontal="center" vertical="center"/>
    </xf>
    <xf numFmtId="49" fontId="0" fillId="461" borderId="0" xfId="0" applyNumberFormat="1" applyFill="1" applyAlignment="1">
      <alignment horizontal="center" vertical="center"/>
    </xf>
    <xf numFmtId="49" fontId="0" fillId="462" borderId="0" xfId="0" applyNumberFormat="1" applyFill="1" applyAlignment="1">
      <alignment horizontal="center" vertical="center"/>
    </xf>
    <xf numFmtId="49" fontId="0" fillId="463" borderId="0" xfId="0" applyNumberFormat="1" applyFill="1" applyAlignment="1">
      <alignment horizontal="center" vertical="center"/>
    </xf>
    <xf numFmtId="49" fontId="0" fillId="464" borderId="0" xfId="0" applyNumberFormat="1" applyFill="1" applyAlignment="1">
      <alignment horizontal="center" vertical="center"/>
    </xf>
    <xf numFmtId="49" fontId="0" fillId="465" borderId="0" xfId="0" applyNumberFormat="1" applyFill="1" applyAlignment="1">
      <alignment horizontal="center" vertical="center"/>
    </xf>
    <xf numFmtId="49" fontId="0" fillId="466" borderId="0" xfId="0" applyNumberFormat="1" applyFill="1" applyAlignment="1">
      <alignment horizontal="center" vertical="center"/>
    </xf>
    <xf numFmtId="49" fontId="0" fillId="467" borderId="0" xfId="0" applyNumberFormat="1" applyFill="1" applyAlignment="1">
      <alignment horizontal="center" vertical="center"/>
    </xf>
    <xf numFmtId="49" fontId="0" fillId="468" borderId="0" xfId="0" applyNumberFormat="1" applyFill="1" applyAlignment="1">
      <alignment horizontal="center" vertical="center"/>
    </xf>
    <xf numFmtId="49" fontId="0" fillId="469" borderId="0" xfId="0" applyNumberFormat="1" applyFill="1" applyAlignment="1">
      <alignment horizontal="center" vertical="center"/>
    </xf>
    <xf numFmtId="49" fontId="0" fillId="470" borderId="0" xfId="0" applyNumberFormat="1" applyFill="1" applyAlignment="1">
      <alignment horizontal="center" vertical="center"/>
    </xf>
    <xf numFmtId="49" fontId="0" fillId="471" borderId="0" xfId="0" applyNumberFormat="1" applyFill="1" applyAlignment="1">
      <alignment horizontal="center" vertical="center"/>
    </xf>
    <xf numFmtId="49" fontId="0" fillId="472" borderId="0" xfId="0" applyNumberFormat="1" applyFill="1" applyAlignment="1">
      <alignment horizontal="center" vertical="center"/>
    </xf>
    <xf numFmtId="49" fontId="0" fillId="473" borderId="0" xfId="0" applyNumberFormat="1" applyFill="1" applyAlignment="1">
      <alignment horizontal="center" vertical="center"/>
    </xf>
    <xf numFmtId="49" fontId="0" fillId="474" borderId="0" xfId="0" applyNumberFormat="1" applyFill="1" applyAlignment="1">
      <alignment horizontal="center" vertical="center"/>
    </xf>
    <xf numFmtId="49" fontId="0" fillId="475" borderId="0" xfId="0" applyNumberFormat="1" applyFill="1" applyAlignment="1">
      <alignment horizontal="center" vertical="center"/>
    </xf>
    <xf numFmtId="49" fontId="0" fillId="82" borderId="0" xfId="0" applyNumberFormat="1" applyFill="1" applyAlignment="1">
      <alignment horizontal="center" vertical="center"/>
    </xf>
    <xf numFmtId="49" fontId="0" fillId="476" borderId="0" xfId="0" applyNumberFormat="1" applyFill="1" applyAlignment="1">
      <alignment horizontal="center" vertical="center"/>
    </xf>
    <xf numFmtId="49" fontId="0" fillId="477" borderId="0" xfId="0" applyNumberFormat="1" applyFill="1" applyAlignment="1">
      <alignment horizontal="center" vertical="center"/>
    </xf>
    <xf numFmtId="49" fontId="0" fillId="478" borderId="0" xfId="0" applyNumberFormat="1" applyFill="1" applyAlignment="1">
      <alignment horizontal="center" vertical="center"/>
    </xf>
    <xf numFmtId="49" fontId="0" fillId="479" borderId="0" xfId="0" applyNumberFormat="1" applyFill="1" applyAlignment="1">
      <alignment horizontal="center" vertical="center"/>
    </xf>
    <xf numFmtId="49" fontId="0" fillId="480" borderId="0" xfId="0" applyNumberFormat="1" applyFill="1" applyAlignment="1">
      <alignment horizontal="center" vertical="center"/>
    </xf>
    <xf numFmtId="49" fontId="0" fillId="60" borderId="0" xfId="0" applyNumberFormat="1" applyFill="1" applyAlignment="1">
      <alignment horizontal="center" vertical="center"/>
    </xf>
    <xf numFmtId="49" fontId="0" fillId="481" borderId="0" xfId="0" applyNumberFormat="1" applyFill="1" applyAlignment="1">
      <alignment horizontal="center" vertical="center"/>
    </xf>
    <xf numFmtId="49" fontId="0" fillId="482" borderId="0" xfId="0" applyNumberFormat="1" applyFill="1" applyAlignment="1">
      <alignment horizontal="center" vertical="center"/>
    </xf>
    <xf numFmtId="49" fontId="0" fillId="483" borderId="0" xfId="0" applyNumberFormat="1" applyFill="1" applyAlignment="1">
      <alignment horizontal="center" vertical="center"/>
    </xf>
    <xf numFmtId="49" fontId="0" fillId="86" borderId="0" xfId="0" applyNumberFormat="1" applyFill="1" applyAlignment="1">
      <alignment horizontal="center" vertical="center"/>
    </xf>
    <xf numFmtId="49" fontId="0" fillId="484" borderId="0" xfId="0" applyNumberFormat="1" applyFill="1" applyAlignment="1">
      <alignment horizontal="center" vertical="center"/>
    </xf>
    <xf numFmtId="164" fontId="0" fillId="0" borderId="0" xfId="0" applyNumberFormat="1"/>
    <xf numFmtId="2" fontId="1" fillId="0" borderId="0" xfId="0" applyNumberFormat="1" applyFont="1"/>
    <xf numFmtId="49" fontId="0" fillId="485" borderId="0" xfId="0" applyNumberFormat="1" applyFill="1" applyAlignment="1">
      <alignment horizontal="center" vertical="center"/>
    </xf>
    <xf numFmtId="49" fontId="0" fillId="486" borderId="0" xfId="0" applyNumberFormat="1" applyFill="1" applyAlignment="1">
      <alignment horizontal="center" vertical="center"/>
    </xf>
    <xf numFmtId="49" fontId="0" fillId="487" borderId="0" xfId="0" applyNumberFormat="1" applyFill="1" applyAlignment="1">
      <alignment horizontal="center" vertical="center"/>
    </xf>
    <xf numFmtId="49" fontId="0" fillId="488" borderId="0" xfId="0" applyNumberFormat="1" applyFill="1" applyAlignment="1">
      <alignment horizontal="center" vertical="center"/>
    </xf>
    <xf numFmtId="49" fontId="0" fillId="489" borderId="0" xfId="0" applyNumberFormat="1" applyFill="1" applyAlignment="1">
      <alignment horizontal="center" vertical="center"/>
    </xf>
    <xf numFmtId="49" fontId="0" fillId="490" borderId="0" xfId="0" applyNumberFormat="1" applyFill="1" applyAlignment="1">
      <alignment horizontal="center" vertical="center"/>
    </xf>
    <xf numFmtId="49" fontId="0" fillId="491" borderId="0" xfId="0" applyNumberFormat="1" applyFill="1" applyAlignment="1">
      <alignment horizontal="center" vertical="center"/>
    </xf>
    <xf numFmtId="49" fontId="0" fillId="492" borderId="0" xfId="0" applyNumberFormat="1" applyFill="1" applyAlignment="1">
      <alignment horizontal="center" vertical="center"/>
    </xf>
    <xf numFmtId="49" fontId="0" fillId="493" borderId="0" xfId="0" applyNumberFormat="1" applyFill="1" applyAlignment="1">
      <alignment horizontal="center" vertical="center"/>
    </xf>
    <xf numFmtId="49" fontId="0" fillId="494" borderId="0" xfId="0" applyNumberFormat="1" applyFill="1" applyAlignment="1">
      <alignment horizontal="center" vertical="center"/>
    </xf>
    <xf numFmtId="49" fontId="0" fillId="495" borderId="0" xfId="0" applyNumberFormat="1" applyFill="1" applyAlignment="1">
      <alignment horizontal="center" vertical="center"/>
    </xf>
    <xf numFmtId="49" fontId="0" fillId="496" borderId="0" xfId="0" applyNumberFormat="1" applyFill="1" applyAlignment="1">
      <alignment horizontal="center" vertical="center"/>
    </xf>
    <xf numFmtId="49" fontId="0" fillId="497" borderId="0" xfId="0" applyNumberFormat="1" applyFill="1" applyAlignment="1">
      <alignment horizontal="center" vertical="center"/>
    </xf>
    <xf numFmtId="49" fontId="0" fillId="498" borderId="0" xfId="0" applyNumberFormat="1" applyFill="1" applyAlignment="1">
      <alignment horizontal="center" vertical="center"/>
    </xf>
    <xf numFmtId="49" fontId="0" fillId="499" borderId="0" xfId="0" applyNumberFormat="1" applyFill="1" applyAlignment="1">
      <alignment horizontal="center" vertical="center"/>
    </xf>
    <xf numFmtId="49" fontId="0" fillId="500" borderId="0" xfId="0" applyNumberFormat="1" applyFill="1" applyAlignment="1">
      <alignment horizontal="center" vertical="center"/>
    </xf>
    <xf numFmtId="49" fontId="0" fillId="501" borderId="0" xfId="0" applyNumberFormat="1" applyFill="1" applyAlignment="1">
      <alignment horizontal="center" vertical="center"/>
    </xf>
    <xf numFmtId="49" fontId="0" fillId="502" borderId="0" xfId="0" applyNumberFormat="1" applyFill="1" applyAlignment="1">
      <alignment horizontal="center" vertical="center"/>
    </xf>
    <xf numFmtId="49" fontId="0" fillId="503" borderId="0" xfId="0" applyNumberFormat="1" applyFill="1" applyAlignment="1">
      <alignment horizontal="center" vertical="center"/>
    </xf>
    <xf numFmtId="49" fontId="0" fillId="504" borderId="0" xfId="0" applyNumberFormat="1" applyFill="1" applyAlignment="1">
      <alignment horizontal="center" vertical="center"/>
    </xf>
    <xf numFmtId="49" fontId="0" fillId="505" borderId="0" xfId="0" applyNumberFormat="1" applyFill="1" applyAlignment="1">
      <alignment horizontal="center" vertical="center"/>
    </xf>
    <xf numFmtId="49" fontId="0" fillId="506" borderId="0" xfId="0" applyNumberFormat="1" applyFill="1" applyAlignment="1">
      <alignment horizontal="center" vertical="center"/>
    </xf>
    <xf numFmtId="49" fontId="0" fillId="507" borderId="0" xfId="0" applyNumberFormat="1" applyFill="1" applyAlignment="1">
      <alignment horizontal="center" vertical="center"/>
    </xf>
    <xf numFmtId="49" fontId="0" fillId="508" borderId="0" xfId="0" applyNumberFormat="1" applyFill="1" applyAlignment="1">
      <alignment horizontal="center" vertical="center"/>
    </xf>
    <xf numFmtId="49" fontId="0" fillId="509" borderId="0" xfId="0" applyNumberFormat="1" applyFill="1" applyAlignment="1">
      <alignment horizontal="center" vertical="center"/>
    </xf>
    <xf numFmtId="49" fontId="0" fillId="510" borderId="0" xfId="0" applyNumberFormat="1" applyFill="1" applyAlignment="1">
      <alignment horizontal="center" vertical="center"/>
    </xf>
    <xf numFmtId="49" fontId="0" fillId="511" borderId="0" xfId="0" applyNumberFormat="1" applyFill="1" applyAlignment="1">
      <alignment horizontal="center" vertical="center"/>
    </xf>
    <xf numFmtId="49" fontId="0" fillId="512" borderId="0" xfId="0" applyNumberFormat="1" applyFill="1" applyAlignment="1">
      <alignment horizontal="center" vertical="center"/>
    </xf>
    <xf numFmtId="49" fontId="0" fillId="513" borderId="0" xfId="0" applyNumberFormat="1" applyFill="1" applyAlignment="1">
      <alignment horizontal="center" vertical="center"/>
    </xf>
    <xf numFmtId="49" fontId="0" fillId="514" borderId="0" xfId="0" applyNumberFormat="1" applyFill="1" applyAlignment="1">
      <alignment horizontal="center" vertical="center"/>
    </xf>
    <xf numFmtId="49" fontId="0" fillId="515" borderId="0" xfId="0" applyNumberFormat="1" applyFill="1" applyAlignment="1">
      <alignment horizontal="center" vertical="center"/>
    </xf>
    <xf numFmtId="49" fontId="0" fillId="516" borderId="0" xfId="0" applyNumberFormat="1" applyFill="1" applyAlignment="1">
      <alignment horizontal="center" vertical="center"/>
    </xf>
    <xf numFmtId="49" fontId="0" fillId="517" borderId="0" xfId="0" applyNumberFormat="1" applyFill="1" applyAlignment="1">
      <alignment horizontal="center" vertical="center"/>
    </xf>
    <xf numFmtId="49" fontId="0" fillId="518" borderId="0" xfId="0" applyNumberFormat="1" applyFill="1" applyAlignment="1">
      <alignment horizontal="center" vertical="center"/>
    </xf>
    <xf numFmtId="49" fontId="0" fillId="519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05AB-36E0-49D5-93CB-FF7C6EE4E438}">
  <sheetPr codeName="Sheet1"/>
  <dimension ref="A1:W193"/>
  <sheetViews>
    <sheetView tabSelected="1" topLeftCell="A160" zoomScale="184" zoomScaleNormal="184" workbookViewId="0">
      <selection activeCell="N182" sqref="N182"/>
    </sheetView>
  </sheetViews>
  <sheetFormatPr defaultRowHeight="14.4" x14ac:dyDescent="0.3"/>
  <cols>
    <col min="1" max="1" width="4.33203125" style="1" customWidth="1"/>
    <col min="2" max="2" width="17.109375" style="1" customWidth="1"/>
    <col min="3" max="3" width="11.88671875" style="1" customWidth="1"/>
    <col min="4" max="4" width="12.5546875" style="1" customWidth="1"/>
    <col min="5" max="7" width="6" style="1" customWidth="1"/>
    <col min="8" max="8" width="3.5546875" style="1" customWidth="1"/>
    <col min="9" max="9" width="4.33203125" style="1" customWidth="1"/>
    <col min="10" max="10" width="17.109375" style="1" customWidth="1"/>
    <col min="11" max="11" width="11.88671875" style="1" customWidth="1"/>
    <col min="12" max="12" width="12.5546875" style="1" customWidth="1"/>
    <col min="13" max="16" width="6" style="1" customWidth="1"/>
    <col min="17" max="17" width="4.33203125" style="1" customWidth="1"/>
    <col min="18" max="18" width="17.109375" style="1" customWidth="1"/>
    <col min="19" max="19" width="11.88671875" style="1" customWidth="1"/>
    <col min="20" max="20" width="12.5546875" style="1" customWidth="1"/>
    <col min="21" max="23" width="6" style="1" customWidth="1"/>
    <col min="24" max="24" width="4.33203125" style="1" customWidth="1"/>
    <col min="25" max="25" width="17.109375" style="1" customWidth="1"/>
    <col min="26" max="26" width="11.88671875" style="1" customWidth="1"/>
    <col min="27" max="27" width="12.5546875" style="1" customWidth="1"/>
    <col min="28" max="30" width="6" style="1" customWidth="1"/>
    <col min="31" max="31" width="4.33203125" style="1" customWidth="1"/>
    <col min="32" max="32" width="17.109375" style="1" customWidth="1"/>
    <col min="33" max="33" width="11.88671875" style="1" customWidth="1"/>
    <col min="34" max="34" width="12.5546875" style="1" customWidth="1"/>
    <col min="35" max="37" width="6" style="1" customWidth="1"/>
    <col min="38" max="16384" width="8.88671875" style="1"/>
  </cols>
  <sheetData>
    <row r="1" spans="1:23" x14ac:dyDescent="0.3">
      <c r="J1" s="1" t="s">
        <v>804</v>
      </c>
      <c r="M1" s="205">
        <f>HEX2DEC(M8)</f>
        <v>255</v>
      </c>
      <c r="N1" s="205">
        <f t="shared" ref="N1:O1" si="0">HEX2DEC(N8)</f>
        <v>0</v>
      </c>
      <c r="O1" s="205">
        <f t="shared" si="0"/>
        <v>0</v>
      </c>
      <c r="Q1" s="1" t="s">
        <v>464</v>
      </c>
      <c r="R1" s="1" t="s">
        <v>838</v>
      </c>
      <c r="U1" s="205">
        <f>HEX2DEC(U8)</f>
        <v>255</v>
      </c>
      <c r="V1" s="205">
        <f t="shared" ref="V1:W1" si="1">HEX2DEC(V8)</f>
        <v>0</v>
      </c>
      <c r="W1" s="205">
        <f t="shared" si="1"/>
        <v>255</v>
      </c>
    </row>
    <row r="2" spans="1:23" x14ac:dyDescent="0.3">
      <c r="B2" s="1" t="s">
        <v>8</v>
      </c>
      <c r="C2" s="2" t="str">
        <f t="shared" ref="C2:C11" si="2">SetIt(C2, E2, F2, G2, "#" &amp; _xlfn.CONCAT(E2,F2,G2))</f>
        <v/>
      </c>
      <c r="D2" s="1" t="s">
        <v>23</v>
      </c>
      <c r="E2" s="1" t="s">
        <v>18</v>
      </c>
      <c r="F2" s="1" t="s">
        <v>18</v>
      </c>
      <c r="G2" s="1" t="s">
        <v>18</v>
      </c>
      <c r="I2" s="1" t="s">
        <v>464</v>
      </c>
      <c r="J2" s="204" t="str">
        <f>J1&amp;".950"</f>
        <v>red.950</v>
      </c>
      <c r="K2" s="508" t="str">
        <f t="shared" ref="K2:K14" si="3">SetIt(K2, M2, N2, O2, "#" &amp; _xlfn.CONCAT(M2,N2,O2))</f>
        <v/>
      </c>
      <c r="L2" s="1" t="s">
        <v>857</v>
      </c>
      <c r="M2" s="1" t="s">
        <v>22</v>
      </c>
      <c r="N2" s="1" t="s">
        <v>337</v>
      </c>
      <c r="O2" s="1" t="s">
        <v>337</v>
      </c>
      <c r="R2" s="204" t="str">
        <f>R1&amp;".950"</f>
        <v>magenta.950</v>
      </c>
      <c r="S2" s="499" t="str">
        <f t="shared" ref="S2:S3" si="4">SetIt(S2, U2, V2, W2, "#" &amp; _xlfn.CONCAT(U2,V2,W2))</f>
        <v/>
      </c>
      <c r="T2" s="1" t="s">
        <v>850</v>
      </c>
      <c r="U2" s="1" t="s">
        <v>22</v>
      </c>
      <c r="V2" s="1" t="s">
        <v>337</v>
      </c>
      <c r="W2" s="1" t="s">
        <v>22</v>
      </c>
    </row>
    <row r="3" spans="1:23" x14ac:dyDescent="0.3">
      <c r="B3" s="1" t="s">
        <v>9</v>
      </c>
      <c r="C3" s="3" t="str">
        <f t="shared" si="2"/>
        <v/>
      </c>
      <c r="D3" s="1" t="s">
        <v>28</v>
      </c>
      <c r="E3" s="1" t="s">
        <v>18</v>
      </c>
      <c r="F3" s="1" t="s">
        <v>19</v>
      </c>
      <c r="G3" s="1" t="s">
        <v>19</v>
      </c>
      <c r="J3" s="204" t="str">
        <f>J1&amp;".900"</f>
        <v>red.900</v>
      </c>
      <c r="K3" s="511" t="str">
        <f t="shared" si="3"/>
        <v/>
      </c>
      <c r="L3" s="1" t="s">
        <v>253</v>
      </c>
      <c r="M3" s="1" t="s">
        <v>22</v>
      </c>
      <c r="N3" s="1" t="s">
        <v>369</v>
      </c>
      <c r="O3" s="1" t="s">
        <v>369</v>
      </c>
      <c r="R3" s="204" t="str">
        <f>R1&amp;".900"</f>
        <v>magenta.900</v>
      </c>
      <c r="S3" s="498" t="str">
        <f t="shared" si="4"/>
        <v/>
      </c>
      <c r="T3" s="1" t="s">
        <v>849</v>
      </c>
      <c r="U3" s="1" t="s">
        <v>22</v>
      </c>
      <c r="V3" s="1" t="s">
        <v>369</v>
      </c>
      <c r="W3" s="1" t="s">
        <v>22</v>
      </c>
    </row>
    <row r="4" spans="1:23" x14ac:dyDescent="0.3">
      <c r="B4" s="1" t="s">
        <v>10</v>
      </c>
      <c r="C4" s="4" t="str">
        <f t="shared" si="2"/>
        <v/>
      </c>
      <c r="D4" s="1" t="s">
        <v>31</v>
      </c>
      <c r="E4" s="1" t="s">
        <v>18</v>
      </c>
      <c r="F4" s="1" t="s">
        <v>18</v>
      </c>
      <c r="G4" s="1" t="s">
        <v>19</v>
      </c>
      <c r="J4" s="204" t="str">
        <f>J1&amp;".800"</f>
        <v>red.800</v>
      </c>
      <c r="K4" s="512" t="str">
        <f t="shared" si="3"/>
        <v/>
      </c>
      <c r="L4" s="1" t="s">
        <v>860</v>
      </c>
      <c r="M4" s="1" t="s">
        <v>22</v>
      </c>
      <c r="N4" s="1" t="s">
        <v>402</v>
      </c>
      <c r="O4" s="1" t="s">
        <v>402</v>
      </c>
      <c r="R4" s="204" t="str">
        <f>R1&amp;".800"</f>
        <v>magenta.800</v>
      </c>
      <c r="S4" s="489" t="str">
        <f t="shared" ref="S4:S14" si="5">SetIt(S4, U4, V4, W4, "#" &amp; _xlfn.CONCAT(U4,V4,W4))</f>
        <v/>
      </c>
      <c r="T4" s="1" t="s">
        <v>839</v>
      </c>
      <c r="U4" s="1" t="s">
        <v>22</v>
      </c>
      <c r="V4" s="1" t="s">
        <v>402</v>
      </c>
      <c r="W4" s="1" t="s">
        <v>22</v>
      </c>
    </row>
    <row r="5" spans="1:23" x14ac:dyDescent="0.3">
      <c r="B5" s="1" t="s">
        <v>11</v>
      </c>
      <c r="C5" s="5" t="str">
        <f t="shared" si="2"/>
        <v/>
      </c>
      <c r="D5" s="1" t="s">
        <v>27</v>
      </c>
      <c r="E5" s="1" t="s">
        <v>19</v>
      </c>
      <c r="F5" s="1" t="s">
        <v>18</v>
      </c>
      <c r="G5" s="1" t="s">
        <v>19</v>
      </c>
      <c r="J5" s="204" t="str">
        <f>J1&amp;".700"</f>
        <v>red.700</v>
      </c>
      <c r="K5" s="505" t="str">
        <f t="shared" si="3"/>
        <v/>
      </c>
      <c r="L5" s="1" t="s">
        <v>855</v>
      </c>
      <c r="M5" s="1" t="s">
        <v>22</v>
      </c>
      <c r="N5" s="1" t="s">
        <v>430</v>
      </c>
      <c r="O5" s="1" t="s">
        <v>430</v>
      </c>
      <c r="R5" s="204" t="str">
        <f>R1&amp;".700"</f>
        <v>magenta.700</v>
      </c>
      <c r="S5" s="491" t="str">
        <f t="shared" si="5"/>
        <v/>
      </c>
      <c r="T5" s="1" t="s">
        <v>841</v>
      </c>
      <c r="U5" s="1" t="s">
        <v>22</v>
      </c>
      <c r="V5" s="1" t="s">
        <v>430</v>
      </c>
      <c r="W5" s="1" t="s">
        <v>22</v>
      </c>
    </row>
    <row r="6" spans="1:23" x14ac:dyDescent="0.3">
      <c r="B6" s="1" t="s">
        <v>12</v>
      </c>
      <c r="C6" s="6" t="str">
        <f t="shared" si="2"/>
        <v/>
      </c>
      <c r="D6" s="1" t="s">
        <v>32</v>
      </c>
      <c r="E6" s="1" t="s">
        <v>19</v>
      </c>
      <c r="F6" s="1" t="s">
        <v>18</v>
      </c>
      <c r="G6" s="1" t="s">
        <v>18</v>
      </c>
      <c r="J6" s="204" t="str">
        <f>J1&amp;".600"</f>
        <v>red.600</v>
      </c>
      <c r="K6" s="506" t="str">
        <f t="shared" si="3"/>
        <v/>
      </c>
      <c r="L6" s="1" t="s">
        <v>856</v>
      </c>
      <c r="M6" s="1" t="s">
        <v>22</v>
      </c>
      <c r="N6" s="1" t="s">
        <v>173</v>
      </c>
      <c r="O6" s="1" t="s">
        <v>173</v>
      </c>
      <c r="R6" s="204" t="str">
        <f>R1&amp;".600"</f>
        <v>magenta.600</v>
      </c>
      <c r="S6" s="493" t="str">
        <f t="shared" si="5"/>
        <v/>
      </c>
      <c r="T6" s="1" t="s">
        <v>843</v>
      </c>
      <c r="U6" s="1" t="s">
        <v>22</v>
      </c>
      <c r="V6" s="1" t="s">
        <v>173</v>
      </c>
      <c r="W6" s="1" t="s">
        <v>22</v>
      </c>
    </row>
    <row r="7" spans="1:23" x14ac:dyDescent="0.3">
      <c r="B7" s="1" t="s">
        <v>13</v>
      </c>
      <c r="C7" s="8" t="str">
        <f t="shared" si="2"/>
        <v/>
      </c>
      <c r="D7" s="1" t="s">
        <v>25</v>
      </c>
      <c r="E7" s="1" t="s">
        <v>19</v>
      </c>
      <c r="F7" s="1" t="s">
        <v>19</v>
      </c>
      <c r="G7" s="1" t="s">
        <v>18</v>
      </c>
      <c r="J7" s="204" t="str">
        <f>J1&amp;".500"</f>
        <v>red.500</v>
      </c>
      <c r="K7" s="504" t="str">
        <f t="shared" si="3"/>
        <v/>
      </c>
      <c r="L7" s="1" t="s">
        <v>854</v>
      </c>
      <c r="M7" s="1" t="s">
        <v>22</v>
      </c>
      <c r="N7" s="1" t="s">
        <v>404</v>
      </c>
      <c r="O7" s="1" t="s">
        <v>404</v>
      </c>
      <c r="R7" s="204" t="str">
        <f>R1&amp;".500"</f>
        <v>magenta.500</v>
      </c>
      <c r="S7" s="494" t="str">
        <f t="shared" si="5"/>
        <v/>
      </c>
      <c r="T7" s="1" t="s">
        <v>844</v>
      </c>
      <c r="U7" s="1" t="s">
        <v>22</v>
      </c>
      <c r="V7" s="1" t="s">
        <v>404</v>
      </c>
      <c r="W7" s="1" t="s">
        <v>22</v>
      </c>
    </row>
    <row r="8" spans="1:23" x14ac:dyDescent="0.3">
      <c r="B8" s="1" t="s">
        <v>14</v>
      </c>
      <c r="C8" s="7" t="str">
        <f t="shared" si="2"/>
        <v/>
      </c>
      <c r="D8" s="1" t="s">
        <v>30</v>
      </c>
      <c r="E8" s="1" t="s">
        <v>18</v>
      </c>
      <c r="F8" s="1" t="s">
        <v>19</v>
      </c>
      <c r="G8" s="1" t="s">
        <v>18</v>
      </c>
      <c r="J8" s="204" t="str">
        <f>J1&amp;".450"</f>
        <v>red.450</v>
      </c>
      <c r="K8" s="3" t="str">
        <f t="shared" si="3"/>
        <v/>
      </c>
      <c r="L8" s="1" t="s">
        <v>212</v>
      </c>
      <c r="M8" s="1" t="s">
        <v>22</v>
      </c>
      <c r="N8" s="1" t="s">
        <v>19</v>
      </c>
      <c r="O8" s="1" t="s">
        <v>19</v>
      </c>
      <c r="R8" s="204" t="str">
        <f>R1&amp;".450"</f>
        <v>magenta.450</v>
      </c>
      <c r="S8" s="7" t="str">
        <f t="shared" si="5"/>
        <v/>
      </c>
      <c r="T8" s="1" t="s">
        <v>846</v>
      </c>
      <c r="U8" s="1" t="s">
        <v>22</v>
      </c>
      <c r="V8" s="1" t="s">
        <v>19</v>
      </c>
      <c r="W8" s="1" t="s">
        <v>22</v>
      </c>
    </row>
    <row r="9" spans="1:23" x14ac:dyDescent="0.3">
      <c r="B9" s="1" t="s">
        <v>15</v>
      </c>
      <c r="C9" s="9" t="str">
        <f t="shared" si="2"/>
        <v/>
      </c>
      <c r="D9" s="1" t="s">
        <v>29</v>
      </c>
      <c r="E9" s="1" t="s">
        <v>18</v>
      </c>
      <c r="F9" s="1" t="s">
        <v>20</v>
      </c>
      <c r="G9" s="1" t="s">
        <v>19</v>
      </c>
      <c r="J9" s="204" t="str">
        <f>J1&amp;".400"</f>
        <v>red.400</v>
      </c>
      <c r="K9" s="509" t="str">
        <f t="shared" si="3"/>
        <v/>
      </c>
      <c r="L9" s="1" t="s">
        <v>858</v>
      </c>
      <c r="M9" s="1" t="s">
        <v>366</v>
      </c>
      <c r="N9" s="1" t="s">
        <v>19</v>
      </c>
      <c r="O9" s="1" t="s">
        <v>19</v>
      </c>
      <c r="R9" s="204" t="str">
        <f>R1&amp;".400"</f>
        <v>magenta.400</v>
      </c>
      <c r="S9" s="496" t="str">
        <f t="shared" si="5"/>
        <v/>
      </c>
      <c r="T9" s="1" t="s">
        <v>847</v>
      </c>
      <c r="U9" s="1" t="s">
        <v>366</v>
      </c>
      <c r="V9" s="1" t="s">
        <v>19</v>
      </c>
      <c r="W9" s="1" t="s">
        <v>366</v>
      </c>
    </row>
    <row r="10" spans="1:23" x14ac:dyDescent="0.3">
      <c r="B10" s="1" t="s">
        <v>16</v>
      </c>
      <c r="C10" s="10" t="str">
        <f t="shared" si="2"/>
        <v/>
      </c>
      <c r="D10" s="1" t="s">
        <v>24</v>
      </c>
      <c r="E10" s="1" t="s">
        <v>21</v>
      </c>
      <c r="F10" s="1" t="s">
        <v>19</v>
      </c>
      <c r="G10" s="1" t="s">
        <v>18</v>
      </c>
      <c r="J10" s="204" t="str">
        <f>J1&amp;".300"</f>
        <v>red.300</v>
      </c>
      <c r="K10" s="507" t="str">
        <f t="shared" si="3"/>
        <v/>
      </c>
      <c r="L10" s="1" t="s">
        <v>221</v>
      </c>
      <c r="M10" s="1" t="s">
        <v>397</v>
      </c>
      <c r="N10" s="1" t="s">
        <v>19</v>
      </c>
      <c r="O10" s="1" t="s">
        <v>19</v>
      </c>
      <c r="R10" s="204" t="str">
        <f>R1&amp;".300"</f>
        <v>magenta.300</v>
      </c>
      <c r="S10" s="497" t="str">
        <f t="shared" si="5"/>
        <v/>
      </c>
      <c r="T10" s="1" t="s">
        <v>848</v>
      </c>
      <c r="U10" s="1" t="s">
        <v>397</v>
      </c>
      <c r="V10" s="1" t="s">
        <v>19</v>
      </c>
      <c r="W10" s="1" t="s">
        <v>397</v>
      </c>
    </row>
    <row r="11" spans="1:23" x14ac:dyDescent="0.3">
      <c r="B11" s="1" t="s">
        <v>17</v>
      </c>
      <c r="C11" s="11" t="str">
        <f t="shared" si="2"/>
        <v/>
      </c>
      <c r="D11" s="1" t="s">
        <v>26</v>
      </c>
      <c r="E11" s="1" t="s">
        <v>19</v>
      </c>
      <c r="F11" s="1" t="s">
        <v>19</v>
      </c>
      <c r="G11" s="1" t="s">
        <v>19</v>
      </c>
      <c r="J11" s="204" t="str">
        <f>J1&amp;".200"</f>
        <v>red.200</v>
      </c>
      <c r="K11" s="510" t="str">
        <f t="shared" si="3"/>
        <v/>
      </c>
      <c r="L11" s="1" t="s">
        <v>859</v>
      </c>
      <c r="M11" s="1" t="s">
        <v>476</v>
      </c>
      <c r="N11" s="1" t="s">
        <v>19</v>
      </c>
      <c r="O11" s="1" t="s">
        <v>19</v>
      </c>
      <c r="R11" s="204" t="str">
        <f>R1&amp;".200"</f>
        <v>magenta.200</v>
      </c>
      <c r="S11" s="495" t="str">
        <f t="shared" si="5"/>
        <v/>
      </c>
      <c r="T11" s="1" t="s">
        <v>845</v>
      </c>
      <c r="U11" s="1" t="s">
        <v>476</v>
      </c>
      <c r="V11" s="1" t="s">
        <v>19</v>
      </c>
      <c r="W11" s="1" t="s">
        <v>476</v>
      </c>
    </row>
    <row r="12" spans="1:23" x14ac:dyDescent="0.3">
      <c r="J12" s="204" t="str">
        <f>J1&amp;".100"</f>
        <v>red.100</v>
      </c>
      <c r="K12" s="501" t="str">
        <f t="shared" si="3"/>
        <v/>
      </c>
      <c r="L12" s="1" t="s">
        <v>249</v>
      </c>
      <c r="M12" s="1" t="s">
        <v>116</v>
      </c>
      <c r="N12" s="1" t="s">
        <v>19</v>
      </c>
      <c r="O12" s="1" t="s">
        <v>19</v>
      </c>
      <c r="R12" s="204" t="str">
        <f>R1&amp;".100"</f>
        <v>magenta.100</v>
      </c>
      <c r="S12" s="490" t="str">
        <f t="shared" si="5"/>
        <v/>
      </c>
      <c r="T12" s="1" t="s">
        <v>840</v>
      </c>
      <c r="U12" s="1" t="s">
        <v>116</v>
      </c>
      <c r="V12" s="1" t="s">
        <v>19</v>
      </c>
      <c r="W12" s="1" t="s">
        <v>116</v>
      </c>
    </row>
    <row r="13" spans="1:23" x14ac:dyDescent="0.3">
      <c r="J13" s="204" t="str">
        <f>J1&amp;".050"</f>
        <v>red.050</v>
      </c>
      <c r="K13" s="502" t="str">
        <f t="shared" si="3"/>
        <v/>
      </c>
      <c r="L13" s="1" t="s">
        <v>852</v>
      </c>
      <c r="M13" s="1" t="s">
        <v>477</v>
      </c>
      <c r="N13" s="1" t="s">
        <v>19</v>
      </c>
      <c r="O13" s="1" t="s">
        <v>19</v>
      </c>
      <c r="R13" s="204" t="str">
        <f>R1&amp;".050"</f>
        <v>magenta.050</v>
      </c>
      <c r="S13" s="492" t="str">
        <f t="shared" si="5"/>
        <v/>
      </c>
      <c r="T13" s="1" t="s">
        <v>842</v>
      </c>
      <c r="U13" s="1" t="s">
        <v>477</v>
      </c>
      <c r="V13" s="1" t="s">
        <v>19</v>
      </c>
      <c r="W13" s="1" t="s">
        <v>477</v>
      </c>
    </row>
    <row r="14" spans="1:23" x14ac:dyDescent="0.3">
      <c r="J14" s="204" t="str">
        <f>J1&amp;".010"</f>
        <v>red.010</v>
      </c>
      <c r="K14" s="503" t="str">
        <f t="shared" si="3"/>
        <v/>
      </c>
      <c r="L14" s="1" t="s">
        <v>853</v>
      </c>
      <c r="M14" s="1" t="s">
        <v>457</v>
      </c>
      <c r="N14" s="1" t="s">
        <v>19</v>
      </c>
      <c r="O14" s="1" t="s">
        <v>19</v>
      </c>
      <c r="R14" s="204" t="str">
        <f>R1&amp;".010"</f>
        <v>magenta.010</v>
      </c>
      <c r="S14" s="500" t="str">
        <f t="shared" si="5"/>
        <v/>
      </c>
      <c r="T14" s="1" t="s">
        <v>851</v>
      </c>
      <c r="U14" s="1" t="s">
        <v>457</v>
      </c>
      <c r="V14" s="1" t="s">
        <v>19</v>
      </c>
      <c r="W14" s="1" t="s">
        <v>457</v>
      </c>
    </row>
    <row r="15" spans="1:23" x14ac:dyDescent="0.3">
      <c r="E15" s="205">
        <f>HEX2DEC(E29)</f>
        <v>116</v>
      </c>
      <c r="F15" s="205">
        <f t="shared" ref="F15:G15" si="6">HEX2DEC(F29)</f>
        <v>116</v>
      </c>
      <c r="G15" s="205">
        <f t="shared" si="6"/>
        <v>116</v>
      </c>
      <c r="M15" s="205">
        <f>HEX2DEC(M17)</f>
        <v>255</v>
      </c>
      <c r="N15" s="205">
        <f t="shared" ref="N15:O15" si="7">HEX2DEC(N17)</f>
        <v>82</v>
      </c>
      <c r="O15" s="205">
        <f t="shared" si="7"/>
        <v>82</v>
      </c>
    </row>
    <row r="16" spans="1:23" x14ac:dyDescent="0.3">
      <c r="A16" s="1" t="s">
        <v>464</v>
      </c>
      <c r="B16" s="1" t="s">
        <v>33</v>
      </c>
      <c r="C16" s="529" t="str">
        <f t="shared" ref="C16:C35" si="8">SetIt(C16, E16, F16, G16, "#" &amp; _xlfn.CONCAT(E16,F16,G16))</f>
        <v/>
      </c>
      <c r="D16" s="1" t="s">
        <v>879</v>
      </c>
      <c r="E16" s="1" t="s">
        <v>346</v>
      </c>
      <c r="F16" s="1" t="s">
        <v>346</v>
      </c>
      <c r="G16" s="1" t="s">
        <v>346</v>
      </c>
      <c r="I16" s="1" t="s">
        <v>464</v>
      </c>
      <c r="J16" s="204" t="str">
        <f>J1&amp;".a600"</f>
        <v>red.a600</v>
      </c>
      <c r="K16" s="534" t="str">
        <f>SetIt(K16, M16, N16, O16, "#" &amp; _xlfn.CONCAT(M16,N16,O16))</f>
        <v/>
      </c>
      <c r="L16" s="1" t="s">
        <v>884</v>
      </c>
      <c r="M16" s="1" t="s">
        <v>22</v>
      </c>
      <c r="N16" s="1" t="s">
        <v>116</v>
      </c>
      <c r="O16" s="1" t="s">
        <v>116</v>
      </c>
    </row>
    <row r="17" spans="2:23" x14ac:dyDescent="0.3">
      <c r="B17" s="1" t="s">
        <v>34</v>
      </c>
      <c r="C17" s="528" t="str">
        <f t="shared" si="8"/>
        <v/>
      </c>
      <c r="D17" s="1" t="s">
        <v>878</v>
      </c>
      <c r="E17" s="1" t="s">
        <v>424</v>
      </c>
      <c r="F17" s="1" t="s">
        <v>424</v>
      </c>
      <c r="G17" s="1" t="s">
        <v>424</v>
      </c>
      <c r="J17" s="204" t="str">
        <f>J1&amp;".a450"</f>
        <v>red.a450</v>
      </c>
      <c r="K17" s="12" t="str">
        <f>SetIt(K17, M17, N17, O17, "#" &amp; _xlfn.CONCAT(M17,N17,O17))</f>
        <v/>
      </c>
      <c r="L17" s="1" t="s">
        <v>139</v>
      </c>
      <c r="M17" s="1" t="s">
        <v>18</v>
      </c>
      <c r="N17" s="1">
        <v>52</v>
      </c>
      <c r="O17" s="1">
        <v>52</v>
      </c>
    </row>
    <row r="18" spans="2:23" x14ac:dyDescent="0.3">
      <c r="B18" s="1" t="s">
        <v>35</v>
      </c>
      <c r="C18" s="525" t="str">
        <f t="shared" si="8"/>
        <v/>
      </c>
      <c r="D18" s="1" t="s">
        <v>875</v>
      </c>
      <c r="E18" s="1" t="s">
        <v>342</v>
      </c>
      <c r="F18" s="1" t="s">
        <v>342</v>
      </c>
      <c r="G18" s="1" t="s">
        <v>342</v>
      </c>
      <c r="J18" s="204" t="str">
        <f>J1&amp;".a400"</f>
        <v>red.a400</v>
      </c>
      <c r="K18" s="536" t="str">
        <f>SetIt(K18, M18, N18, O18, "#" &amp; _xlfn.CONCAT(M18,N18,O18))</f>
        <v/>
      </c>
      <c r="L18" s="1" t="s">
        <v>886</v>
      </c>
      <c r="M18" s="1" t="s">
        <v>366</v>
      </c>
      <c r="N18" s="1" t="s">
        <v>434</v>
      </c>
      <c r="O18" s="1" t="s">
        <v>434</v>
      </c>
    </row>
    <row r="19" spans="2:23" x14ac:dyDescent="0.3">
      <c r="B19" s="1" t="s">
        <v>37</v>
      </c>
      <c r="C19" s="49" t="str">
        <f t="shared" si="8"/>
        <v/>
      </c>
      <c r="D19" s="1" t="s">
        <v>871</v>
      </c>
      <c r="E19" s="1" t="s">
        <v>60</v>
      </c>
      <c r="F19" s="1" t="s">
        <v>60</v>
      </c>
      <c r="G19" s="1" t="s">
        <v>60</v>
      </c>
      <c r="J19" s="204" t="str">
        <f>J1&amp;".a300"</f>
        <v>red.a300</v>
      </c>
      <c r="K19" s="535" t="str">
        <f>SetIt(K19, M19, N19, O19, "#" &amp; _xlfn.CONCAT(M19,N19,O19))</f>
        <v/>
      </c>
      <c r="L19" s="1" t="s">
        <v>885</v>
      </c>
      <c r="M19" s="1" t="s">
        <v>397</v>
      </c>
      <c r="N19" s="1" t="s">
        <v>121</v>
      </c>
      <c r="O19" s="1" t="s">
        <v>121</v>
      </c>
    </row>
    <row r="20" spans="2:23" x14ac:dyDescent="0.3">
      <c r="B20" s="1" t="s">
        <v>39</v>
      </c>
      <c r="C20" s="13" t="str">
        <f t="shared" si="8"/>
        <v/>
      </c>
      <c r="D20" s="1" t="s">
        <v>58</v>
      </c>
      <c r="E20" s="1" t="s">
        <v>40</v>
      </c>
      <c r="F20" s="1" t="s">
        <v>40</v>
      </c>
      <c r="G20" s="1" t="s">
        <v>40</v>
      </c>
    </row>
    <row r="21" spans="2:23" x14ac:dyDescent="0.3">
      <c r="B21" s="1" t="s">
        <v>41</v>
      </c>
      <c r="C21" s="533" t="str">
        <f t="shared" si="8"/>
        <v/>
      </c>
      <c r="D21" s="1" t="s">
        <v>883</v>
      </c>
      <c r="E21" s="1" t="s">
        <v>473</v>
      </c>
      <c r="F21" s="1" t="s">
        <v>473</v>
      </c>
      <c r="G21" s="1" t="s">
        <v>473</v>
      </c>
      <c r="J21" s="1" t="s">
        <v>805</v>
      </c>
      <c r="M21" s="205">
        <f>HEX2DEC(M28)</f>
        <v>220</v>
      </c>
      <c r="N21" s="205">
        <f t="shared" ref="N21:O21" si="9">HEX2DEC(N28)</f>
        <v>20</v>
      </c>
      <c r="O21" s="205">
        <f t="shared" si="9"/>
        <v>60</v>
      </c>
      <c r="Q21" s="1" t="s">
        <v>464</v>
      </c>
      <c r="R21" s="1" t="s">
        <v>806</v>
      </c>
      <c r="U21" s="205">
        <f>HEX2DEC(U28)</f>
        <v>171</v>
      </c>
      <c r="V21" s="205">
        <f t="shared" ref="V21:W21" si="10">HEX2DEC(V28)</f>
        <v>71</v>
      </c>
      <c r="W21" s="205">
        <f t="shared" si="10"/>
        <v>188</v>
      </c>
    </row>
    <row r="22" spans="2:23" x14ac:dyDescent="0.3">
      <c r="B22" s="1" t="s">
        <v>42</v>
      </c>
      <c r="C22" s="518" t="str">
        <f t="shared" si="8"/>
        <v/>
      </c>
      <c r="D22" s="1" t="s">
        <v>867</v>
      </c>
      <c r="E22" s="1" t="s">
        <v>529</v>
      </c>
      <c r="F22" s="1" t="s">
        <v>529</v>
      </c>
      <c r="G22" s="1" t="s">
        <v>529</v>
      </c>
      <c r="J22" s="204" t="str">
        <f>J21&amp;".950"</f>
        <v>crimson.950</v>
      </c>
      <c r="K22" s="462" t="str">
        <f t="shared" ref="K22:K23" si="11">SetIt(K22, M22, N22, O22, "#" &amp; _xlfn.CONCAT(M22,N22,O22))</f>
        <v/>
      </c>
      <c r="L22" s="1" t="s">
        <v>808</v>
      </c>
      <c r="M22" s="1" t="s">
        <v>340</v>
      </c>
      <c r="N22" s="1" t="s">
        <v>337</v>
      </c>
      <c r="O22" s="1" t="s">
        <v>343</v>
      </c>
      <c r="R22" s="204" t="str">
        <f>R21&amp;".950"</f>
        <v>purple.950</v>
      </c>
      <c r="S22" s="475" t="str">
        <f t="shared" ref="S22:S23" si="12">SetIt(S22, U22, V22, W22, "#" &amp; _xlfn.CONCAT(U22,V22,W22))</f>
        <v/>
      </c>
      <c r="T22" s="1" t="s">
        <v>823</v>
      </c>
      <c r="U22" s="1" t="s">
        <v>85</v>
      </c>
      <c r="V22" s="1" t="s">
        <v>423</v>
      </c>
      <c r="W22" s="1" t="s">
        <v>85</v>
      </c>
    </row>
    <row r="23" spans="2:23" x14ac:dyDescent="0.3">
      <c r="B23" s="1" t="s">
        <v>43</v>
      </c>
      <c r="C23" s="520" t="str">
        <f t="shared" si="8"/>
        <v/>
      </c>
      <c r="D23" s="1" t="s">
        <v>869</v>
      </c>
      <c r="E23" s="1" t="s">
        <v>552</v>
      </c>
      <c r="F23" s="1" t="s">
        <v>552</v>
      </c>
      <c r="G23" s="1" t="s">
        <v>552</v>
      </c>
      <c r="J23" s="204" t="str">
        <f>J21&amp;".900"</f>
        <v>crimson.900</v>
      </c>
      <c r="K23" s="473" t="str">
        <f t="shared" si="11"/>
        <v/>
      </c>
      <c r="L23" s="1" t="s">
        <v>819</v>
      </c>
      <c r="M23" s="1" t="s">
        <v>82</v>
      </c>
      <c r="N23" s="1" t="s">
        <v>458</v>
      </c>
      <c r="O23" s="1" t="s">
        <v>522</v>
      </c>
      <c r="R23" s="204" t="str">
        <f>R21&amp;".900"</f>
        <v>purple.900</v>
      </c>
      <c r="S23" s="485" t="str">
        <f t="shared" si="12"/>
        <v/>
      </c>
      <c r="T23" s="1" t="s">
        <v>834</v>
      </c>
      <c r="U23" s="1" t="s">
        <v>339</v>
      </c>
      <c r="V23" s="1" t="s">
        <v>569</v>
      </c>
      <c r="W23" s="1" t="s">
        <v>337</v>
      </c>
    </row>
    <row r="24" spans="2:23" x14ac:dyDescent="0.3">
      <c r="B24" s="1" t="s">
        <v>44</v>
      </c>
      <c r="C24" s="523" t="str">
        <f t="shared" si="8"/>
        <v/>
      </c>
      <c r="D24" s="1" t="s">
        <v>873</v>
      </c>
      <c r="E24" s="1" t="s">
        <v>863</v>
      </c>
      <c r="F24" s="1" t="s">
        <v>863</v>
      </c>
      <c r="G24" s="1" t="s">
        <v>863</v>
      </c>
      <c r="J24" s="204" t="str">
        <f>J21&amp;".800"</f>
        <v>crimson.800</v>
      </c>
      <c r="K24" s="464" t="str">
        <f t="shared" ref="K24:K34" si="13">SetIt(K24, M24, N24, O24, "#" &amp; _xlfn.CONCAT(M24,N24,O24))</f>
        <v/>
      </c>
      <c r="L24" s="1" t="s">
        <v>810</v>
      </c>
      <c r="M24" s="1" t="s">
        <v>339</v>
      </c>
      <c r="N24" s="1" t="s">
        <v>505</v>
      </c>
      <c r="O24" s="1" t="s">
        <v>524</v>
      </c>
      <c r="R24" s="204" t="str">
        <f>R21&amp;".800"</f>
        <v>purple.800</v>
      </c>
      <c r="S24" s="476" t="str">
        <f t="shared" ref="S24:S34" si="14">SetIt(S24, U24, V24, W24, "#" &amp; _xlfn.CONCAT(U24,V24,W24))</f>
        <v/>
      </c>
      <c r="T24" s="1" t="s">
        <v>824</v>
      </c>
      <c r="U24" s="1" t="s">
        <v>342</v>
      </c>
      <c r="V24" s="1" t="s">
        <v>723</v>
      </c>
      <c r="W24" s="1" t="s">
        <v>429</v>
      </c>
    </row>
    <row r="25" spans="2:23" x14ac:dyDescent="0.3">
      <c r="B25" s="1" t="s">
        <v>45</v>
      </c>
      <c r="C25" s="519" t="str">
        <f t="shared" si="8"/>
        <v/>
      </c>
      <c r="D25" s="1" t="s">
        <v>868</v>
      </c>
      <c r="E25" s="1" t="s">
        <v>682</v>
      </c>
      <c r="F25" s="1" t="s">
        <v>682</v>
      </c>
      <c r="G25" s="1" t="s">
        <v>682</v>
      </c>
      <c r="J25" s="204" t="str">
        <f>J21&amp;".700"</f>
        <v>crimson.700</v>
      </c>
      <c r="K25" s="466" t="str">
        <f t="shared" si="13"/>
        <v/>
      </c>
      <c r="L25" s="1" t="s">
        <v>812</v>
      </c>
      <c r="M25" s="1" t="s">
        <v>429</v>
      </c>
      <c r="N25" s="1" t="s">
        <v>349</v>
      </c>
      <c r="O25" s="1" t="s">
        <v>525</v>
      </c>
      <c r="R25" s="204" t="str">
        <f>R21&amp;".700"</f>
        <v>purple.700</v>
      </c>
      <c r="S25" s="478" t="str">
        <f t="shared" si="14"/>
        <v/>
      </c>
      <c r="T25" s="1" t="s">
        <v>826</v>
      </c>
      <c r="U25" s="1" t="s">
        <v>426</v>
      </c>
      <c r="V25" s="1" t="s">
        <v>86</v>
      </c>
      <c r="W25" s="1" t="s">
        <v>526</v>
      </c>
    </row>
    <row r="26" spans="2:23" x14ac:dyDescent="0.3">
      <c r="B26" s="1" t="s">
        <v>46</v>
      </c>
      <c r="C26" s="517" t="str">
        <f t="shared" si="8"/>
        <v/>
      </c>
      <c r="D26" s="1" t="s">
        <v>866</v>
      </c>
      <c r="E26" s="1" t="s">
        <v>188</v>
      </c>
      <c r="F26" s="1" t="s">
        <v>188</v>
      </c>
      <c r="G26" s="1" t="s">
        <v>188</v>
      </c>
      <c r="J26" s="204" t="str">
        <f>J21&amp;".600"</f>
        <v>crimson.600</v>
      </c>
      <c r="K26" s="468" t="str">
        <f t="shared" si="13"/>
        <v/>
      </c>
      <c r="L26" s="1" t="s">
        <v>814</v>
      </c>
      <c r="M26" s="1" t="s">
        <v>399</v>
      </c>
      <c r="N26" s="1" t="s">
        <v>99</v>
      </c>
      <c r="O26" s="1" t="s">
        <v>527</v>
      </c>
      <c r="R26" s="204" t="str">
        <f>R21&amp;".600"</f>
        <v>purple.600</v>
      </c>
      <c r="S26" s="480" t="str">
        <f t="shared" si="14"/>
        <v/>
      </c>
      <c r="T26" s="1" t="s">
        <v>828</v>
      </c>
      <c r="U26" s="1" t="s">
        <v>341</v>
      </c>
      <c r="V26" s="1" t="s">
        <v>149</v>
      </c>
      <c r="W26" s="1" t="s">
        <v>370</v>
      </c>
    </row>
    <row r="27" spans="2:23" x14ac:dyDescent="0.3">
      <c r="B27" s="1" t="s">
        <v>47</v>
      </c>
      <c r="C27" s="527" t="str">
        <f t="shared" si="8"/>
        <v/>
      </c>
      <c r="D27" s="1" t="s">
        <v>877</v>
      </c>
      <c r="E27" s="1" t="s">
        <v>405</v>
      </c>
      <c r="F27" s="1" t="s">
        <v>405</v>
      </c>
      <c r="G27" s="1" t="s">
        <v>405</v>
      </c>
      <c r="J27" s="204" t="str">
        <f>J21&amp;".500"</f>
        <v>crimson.500</v>
      </c>
      <c r="K27" s="470" t="str">
        <f t="shared" si="13"/>
        <v/>
      </c>
      <c r="L27" s="1" t="s">
        <v>816</v>
      </c>
      <c r="M27" s="1" t="s">
        <v>65</v>
      </c>
      <c r="N27" s="1" t="s">
        <v>102</v>
      </c>
      <c r="O27" s="1" t="s">
        <v>105</v>
      </c>
      <c r="R27" s="204" t="str">
        <f>R21&amp;".500"</f>
        <v>purple.500</v>
      </c>
      <c r="S27" s="481" t="str">
        <f t="shared" si="14"/>
        <v/>
      </c>
      <c r="T27" s="1" t="s">
        <v>829</v>
      </c>
      <c r="U27" s="1" t="s">
        <v>452</v>
      </c>
      <c r="V27" s="1" t="s">
        <v>820</v>
      </c>
      <c r="W27" s="1" t="s">
        <v>821</v>
      </c>
    </row>
    <row r="28" spans="2:23" x14ac:dyDescent="0.3">
      <c r="B28" s="1" t="s">
        <v>48</v>
      </c>
      <c r="C28" s="532" t="str">
        <f t="shared" si="8"/>
        <v/>
      </c>
      <c r="D28" s="1" t="s">
        <v>882</v>
      </c>
      <c r="E28" s="1" t="s">
        <v>527</v>
      </c>
      <c r="F28" s="1" t="s">
        <v>527</v>
      </c>
      <c r="G28" s="1" t="s">
        <v>527</v>
      </c>
      <c r="J28" s="204" t="str">
        <f>J21&amp;".450"</f>
        <v>crimson.450</v>
      </c>
      <c r="K28" s="15" t="str">
        <f t="shared" si="13"/>
        <v/>
      </c>
      <c r="L28" s="1" t="s">
        <v>140</v>
      </c>
      <c r="M28" s="1" t="s">
        <v>68</v>
      </c>
      <c r="N28" s="1" t="s">
        <v>807</v>
      </c>
      <c r="O28" s="1" t="s">
        <v>69</v>
      </c>
      <c r="R28" s="204" t="str">
        <f>R21&amp;".450"</f>
        <v>purple.450</v>
      </c>
      <c r="S28" s="14" t="str">
        <f t="shared" si="14"/>
        <v/>
      </c>
      <c r="T28" s="1" t="s">
        <v>830</v>
      </c>
      <c r="U28" s="1" t="s">
        <v>525</v>
      </c>
      <c r="V28" s="1" t="s">
        <v>170</v>
      </c>
      <c r="W28" s="1" t="s">
        <v>769</v>
      </c>
    </row>
    <row r="29" spans="2:23" x14ac:dyDescent="0.3">
      <c r="B29" s="1" t="s">
        <v>862</v>
      </c>
      <c r="C29" s="516" t="str">
        <f t="shared" si="8"/>
        <v/>
      </c>
      <c r="D29" s="1" t="s">
        <v>865</v>
      </c>
      <c r="E29" s="1" t="s">
        <v>664</v>
      </c>
      <c r="F29" s="1" t="s">
        <v>664</v>
      </c>
      <c r="G29" s="1" t="s">
        <v>664</v>
      </c>
      <c r="J29" s="204" t="str">
        <f>J21&amp;".400"</f>
        <v>crimson.400</v>
      </c>
      <c r="K29" s="472" t="str">
        <f t="shared" si="13"/>
        <v/>
      </c>
      <c r="L29" s="1" t="s">
        <v>818</v>
      </c>
      <c r="M29" s="1" t="s">
        <v>433</v>
      </c>
      <c r="N29" s="1" t="s">
        <v>378</v>
      </c>
      <c r="O29" s="1" t="s">
        <v>5</v>
      </c>
      <c r="R29" s="204" t="str">
        <f>R21&amp;".400"</f>
        <v>purple.400</v>
      </c>
      <c r="S29" s="482" t="str">
        <f t="shared" si="14"/>
        <v/>
      </c>
      <c r="T29" s="1" t="s">
        <v>831</v>
      </c>
      <c r="U29" s="1" t="s">
        <v>662</v>
      </c>
      <c r="V29" s="1" t="s">
        <v>179</v>
      </c>
      <c r="W29" s="1" t="s">
        <v>63</v>
      </c>
    </row>
    <row r="30" spans="2:23" x14ac:dyDescent="0.3">
      <c r="B30" s="1" t="s">
        <v>49</v>
      </c>
      <c r="C30" s="531" t="str">
        <f>SetIt(C30, E30, F30, G30, "#" &amp; _xlfn.CONCAT(E30,F30,G30))</f>
        <v/>
      </c>
      <c r="D30" s="1" t="s">
        <v>881</v>
      </c>
      <c r="E30" s="1" t="s">
        <v>92</v>
      </c>
      <c r="F30" s="1" t="s">
        <v>92</v>
      </c>
      <c r="G30" s="1" t="s">
        <v>92</v>
      </c>
      <c r="J30" s="204" t="str">
        <f>J21&amp;".300"</f>
        <v>crimson.300</v>
      </c>
      <c r="K30" s="471" t="str">
        <f t="shared" si="13"/>
        <v/>
      </c>
      <c r="L30" s="1" t="s">
        <v>817</v>
      </c>
      <c r="M30" s="1" t="s">
        <v>435</v>
      </c>
      <c r="N30" s="1" t="s">
        <v>406</v>
      </c>
      <c r="O30" s="1" t="s">
        <v>102</v>
      </c>
      <c r="R30" s="204" t="str">
        <f>R21&amp;".300"</f>
        <v>purple.300</v>
      </c>
      <c r="S30" s="483" t="str">
        <f t="shared" si="14"/>
        <v/>
      </c>
      <c r="T30" s="1" t="s">
        <v>832</v>
      </c>
      <c r="U30" s="1" t="s">
        <v>376</v>
      </c>
      <c r="V30" s="1" t="s">
        <v>7</v>
      </c>
      <c r="W30" s="1" t="s">
        <v>184</v>
      </c>
    </row>
    <row r="31" spans="2:23" x14ac:dyDescent="0.3">
      <c r="B31" s="1" t="s">
        <v>50</v>
      </c>
      <c r="C31" s="524" t="str">
        <f>SetIt(C31, E31, F31, G31, "#" &amp; _xlfn.CONCAT(E31,F31,G31))</f>
        <v/>
      </c>
      <c r="D31" s="1" t="s">
        <v>874</v>
      </c>
      <c r="E31" s="1" t="s">
        <v>174</v>
      </c>
      <c r="F31" s="1" t="s">
        <v>174</v>
      </c>
      <c r="G31" s="1" t="s">
        <v>174</v>
      </c>
      <c r="J31" s="204" t="str">
        <f>J21&amp;".200"</f>
        <v>crimson.200</v>
      </c>
      <c r="K31" s="469" t="str">
        <f t="shared" si="13"/>
        <v/>
      </c>
      <c r="L31" s="1" t="s">
        <v>815</v>
      </c>
      <c r="M31" s="1" t="s">
        <v>158</v>
      </c>
      <c r="N31" s="1" t="s">
        <v>71</v>
      </c>
      <c r="O31" s="1" t="s">
        <v>103</v>
      </c>
      <c r="R31" s="204" t="str">
        <f>R21&amp;".200"</f>
        <v>purple.200</v>
      </c>
      <c r="S31" s="484" t="str">
        <f t="shared" si="14"/>
        <v/>
      </c>
      <c r="T31" s="1" t="s">
        <v>833</v>
      </c>
      <c r="U31" s="1" t="s">
        <v>664</v>
      </c>
      <c r="V31" s="1" t="s">
        <v>102</v>
      </c>
      <c r="W31" s="1" t="s">
        <v>133</v>
      </c>
    </row>
    <row r="32" spans="2:23" x14ac:dyDescent="0.3">
      <c r="B32" s="1" t="s">
        <v>51</v>
      </c>
      <c r="C32" s="522" t="str">
        <f>SetIt(C32, E32, F32, G32, "#" &amp; _xlfn.CONCAT(E32,F32,G32))</f>
        <v/>
      </c>
      <c r="D32" s="1" t="s">
        <v>872</v>
      </c>
      <c r="E32" s="1" t="s">
        <v>578</v>
      </c>
      <c r="F32" s="1" t="s">
        <v>578</v>
      </c>
      <c r="G32" s="1" t="s">
        <v>578</v>
      </c>
      <c r="J32" s="204" t="str">
        <f>J21&amp;".100"</f>
        <v>crimson.100</v>
      </c>
      <c r="K32" s="465" t="str">
        <f t="shared" si="13"/>
        <v/>
      </c>
      <c r="L32" s="1" t="s">
        <v>811</v>
      </c>
      <c r="M32" s="1" t="s">
        <v>187</v>
      </c>
      <c r="N32" s="1" t="s">
        <v>381</v>
      </c>
      <c r="O32" s="1" t="s">
        <v>78</v>
      </c>
      <c r="R32" s="204" t="str">
        <f>R21&amp;".100"</f>
        <v>purple.100</v>
      </c>
      <c r="S32" s="477" t="str">
        <f t="shared" si="14"/>
        <v/>
      </c>
      <c r="T32" s="1" t="s">
        <v>825</v>
      </c>
      <c r="U32" s="1" t="s">
        <v>820</v>
      </c>
      <c r="V32" s="1" t="s">
        <v>109</v>
      </c>
      <c r="W32" s="1" t="s">
        <v>168</v>
      </c>
    </row>
    <row r="33" spans="1:23" x14ac:dyDescent="0.3">
      <c r="B33" s="1" t="s">
        <v>52</v>
      </c>
      <c r="C33" s="530" t="str">
        <f>SetIt(C33, E33, F33, G33, "#" &amp; _xlfn.CONCAT(E33,F33,G33))</f>
        <v/>
      </c>
      <c r="D33" s="1" t="s">
        <v>880</v>
      </c>
      <c r="E33" s="1" t="s">
        <v>1</v>
      </c>
      <c r="F33" s="1" t="s">
        <v>1</v>
      </c>
      <c r="G33" s="1" t="s">
        <v>1</v>
      </c>
      <c r="J33" s="204" t="str">
        <f>J21&amp;".050"</f>
        <v>crimson.050</v>
      </c>
      <c r="K33" s="467" t="str">
        <f t="shared" si="13"/>
        <v/>
      </c>
      <c r="L33" s="1" t="s">
        <v>813</v>
      </c>
      <c r="M33" s="1" t="s">
        <v>352</v>
      </c>
      <c r="N33" s="1" t="s">
        <v>641</v>
      </c>
      <c r="O33" s="1" t="s">
        <v>88</v>
      </c>
      <c r="R33" s="204" t="str">
        <f>R21&amp;".050"</f>
        <v>purple.050</v>
      </c>
      <c r="S33" s="479" t="str">
        <f t="shared" si="14"/>
        <v/>
      </c>
      <c r="T33" s="1" t="s">
        <v>827</v>
      </c>
      <c r="U33" s="1" t="s">
        <v>170</v>
      </c>
      <c r="V33" s="1" t="s">
        <v>638</v>
      </c>
      <c r="W33" s="1" t="s">
        <v>724</v>
      </c>
    </row>
    <row r="34" spans="1:23" x14ac:dyDescent="0.3">
      <c r="B34" s="1" t="s">
        <v>53</v>
      </c>
      <c r="C34" s="521" t="str">
        <f>SetIt(C34, E34, F34, G34, "#" &amp; _xlfn.CONCAT(E34,F34,G34))</f>
        <v/>
      </c>
      <c r="D34" s="1" t="s">
        <v>870</v>
      </c>
      <c r="E34" s="1" t="s">
        <v>181</v>
      </c>
      <c r="F34" s="1" t="s">
        <v>181</v>
      </c>
      <c r="G34" s="1" t="s">
        <v>181</v>
      </c>
      <c r="J34" s="204" t="str">
        <f>J21&amp;".010"</f>
        <v>crimson.010</v>
      </c>
      <c r="K34" s="463" t="str">
        <f t="shared" si="13"/>
        <v/>
      </c>
      <c r="L34" s="1" t="s">
        <v>809</v>
      </c>
      <c r="M34" s="1" t="s">
        <v>121</v>
      </c>
      <c r="N34" s="1" t="s">
        <v>642</v>
      </c>
      <c r="O34" s="1" t="s">
        <v>191</v>
      </c>
      <c r="R34" s="204" t="str">
        <f>R21&amp;".010"</f>
        <v>purple.010</v>
      </c>
      <c r="S34" s="474" t="str">
        <f t="shared" si="14"/>
        <v/>
      </c>
      <c r="T34" s="1" t="s">
        <v>822</v>
      </c>
      <c r="U34" s="1" t="s">
        <v>1</v>
      </c>
      <c r="V34" s="1" t="s">
        <v>124</v>
      </c>
      <c r="W34" s="1" t="s">
        <v>6</v>
      </c>
    </row>
    <row r="35" spans="1:23" x14ac:dyDescent="0.3">
      <c r="B35" s="1" t="s">
        <v>54</v>
      </c>
      <c r="C35" s="17" t="str">
        <f>SetIt(C35, E35, F35, G35, "#" &amp; _xlfn.CONCAT(E35,F35,G35))</f>
        <v/>
      </c>
      <c r="D35" s="1" t="s">
        <v>57</v>
      </c>
      <c r="E35" s="1" t="s">
        <v>88</v>
      </c>
      <c r="F35" s="1" t="s">
        <v>88</v>
      </c>
      <c r="G35" s="1" t="s">
        <v>88</v>
      </c>
      <c r="U35" s="205">
        <f>HEX2DEC(U37)</f>
        <v>224</v>
      </c>
      <c r="V35" s="205">
        <f t="shared" ref="V35:W35" si="15">HEX2DEC(V37)</f>
        <v>64</v>
      </c>
      <c r="W35" s="205">
        <f t="shared" si="15"/>
        <v>251</v>
      </c>
    </row>
    <row r="36" spans="1:23" x14ac:dyDescent="0.3">
      <c r="B36" s="1" t="s">
        <v>55</v>
      </c>
      <c r="C36" s="526" t="str">
        <f>SetIt(C36, E36, F36, G36, "#" &amp; _xlfn.CONCAT(E36,F36,G36))</f>
        <v/>
      </c>
      <c r="D36" s="1" t="s">
        <v>876</v>
      </c>
      <c r="E36" s="1" t="s">
        <v>119</v>
      </c>
      <c r="F36" s="1" t="s">
        <v>119</v>
      </c>
      <c r="G36" s="1" t="s">
        <v>119</v>
      </c>
      <c r="Q36" s="1" t="s">
        <v>464</v>
      </c>
      <c r="R36" s="204" t="str">
        <f>R21&amp;".a600"</f>
        <v>purple.a600</v>
      </c>
      <c r="S36" s="486" t="str">
        <f t="shared" ref="S36:S39" si="16">SetIt(S36, U36, V36, W36, "#" &amp; _xlfn.CONCAT(U36,V36,W36))</f>
        <v/>
      </c>
      <c r="T36" s="1" t="s">
        <v>835</v>
      </c>
      <c r="U36" s="1" t="s">
        <v>458</v>
      </c>
      <c r="V36" s="1" t="s">
        <v>112</v>
      </c>
      <c r="W36" s="1" t="s">
        <v>82</v>
      </c>
    </row>
    <row r="37" spans="1:23" x14ac:dyDescent="0.3">
      <c r="B37" s="1" t="s">
        <v>861</v>
      </c>
      <c r="C37" s="515" t="str">
        <f>SetIt(C37, E37, F37, G37, "#" &amp; _xlfn.CONCAT(E37,F37,G37))</f>
        <v/>
      </c>
      <c r="D37" s="1" t="s">
        <v>864</v>
      </c>
      <c r="E37" s="1" t="s">
        <v>770</v>
      </c>
      <c r="F37" s="1" t="s">
        <v>770</v>
      </c>
      <c r="G37" s="1" t="s">
        <v>770</v>
      </c>
      <c r="R37" s="204" t="str">
        <f>R21&amp;".a450"</f>
        <v>purple.a450</v>
      </c>
      <c r="S37" s="16" t="str">
        <f t="shared" si="16"/>
        <v/>
      </c>
      <c r="T37" s="1" t="s">
        <v>136</v>
      </c>
      <c r="U37" s="1" t="s">
        <v>38</v>
      </c>
      <c r="V37" s="1">
        <v>40</v>
      </c>
      <c r="W37" s="1" t="s">
        <v>89</v>
      </c>
    </row>
    <row r="38" spans="1:23" x14ac:dyDescent="0.3">
      <c r="R38" s="204" t="str">
        <f>R21&amp;".a400"</f>
        <v>purple.a400</v>
      </c>
      <c r="S38" s="487" t="str">
        <f t="shared" si="16"/>
        <v/>
      </c>
      <c r="T38" s="1" t="s">
        <v>836</v>
      </c>
      <c r="U38" s="1" t="s">
        <v>368</v>
      </c>
      <c r="V38" s="1" t="s">
        <v>508</v>
      </c>
      <c r="W38" s="1" t="s">
        <v>399</v>
      </c>
    </row>
    <row r="39" spans="1:23" x14ac:dyDescent="0.3">
      <c r="R39" s="204" t="str">
        <f>R21&amp;".a300"</f>
        <v>purple.a300</v>
      </c>
      <c r="S39" s="488" t="str">
        <f t="shared" si="16"/>
        <v/>
      </c>
      <c r="T39" s="1" t="s">
        <v>837</v>
      </c>
      <c r="U39" s="1" t="s">
        <v>452</v>
      </c>
      <c r="V39" s="1" t="s">
        <v>2</v>
      </c>
      <c r="W39" s="1" t="s">
        <v>505</v>
      </c>
    </row>
    <row r="41" spans="1:23" x14ac:dyDescent="0.3">
      <c r="A41" s="1" t="s">
        <v>464</v>
      </c>
      <c r="B41" s="1" t="s">
        <v>751</v>
      </c>
      <c r="E41" s="205">
        <f>HEX2DEC(E48)</f>
        <v>96</v>
      </c>
      <c r="F41" s="205">
        <f t="shared" ref="F41:G41" si="17">HEX2DEC(F48)</f>
        <v>125</v>
      </c>
      <c r="G41" s="205">
        <f t="shared" si="17"/>
        <v>139</v>
      </c>
      <c r="I41" s="1" t="s">
        <v>464</v>
      </c>
      <c r="J41" s="1" t="s">
        <v>752</v>
      </c>
      <c r="M41" s="205">
        <f>HEX2DEC(M48)</f>
        <v>233</v>
      </c>
      <c r="N41" s="205">
        <f t="shared" ref="N41:O41" si="18">HEX2DEC(N48)</f>
        <v>30</v>
      </c>
      <c r="O41" s="205">
        <f t="shared" si="18"/>
        <v>99</v>
      </c>
      <c r="Q41" s="1" t="s">
        <v>464</v>
      </c>
      <c r="R41" s="1" t="s">
        <v>753</v>
      </c>
      <c r="U41" s="205">
        <f>HEX2DEC(U48)</f>
        <v>103</v>
      </c>
      <c r="V41" s="205">
        <f t="shared" ref="V41:W41" si="19">HEX2DEC(V48)</f>
        <v>58</v>
      </c>
      <c r="W41" s="205">
        <f t="shared" si="19"/>
        <v>183</v>
      </c>
    </row>
    <row r="42" spans="1:23" x14ac:dyDescent="0.3">
      <c r="B42" s="204" t="str">
        <f>B41&amp;".950"</f>
        <v>blue.gray.950</v>
      </c>
      <c r="C42" s="429" t="str">
        <f t="shared" ref="C42:C52" si="20">SetIt(C42, E42, F42, G42, "#" &amp; _xlfn.CONCAT(E42,F42,G42))</f>
        <v/>
      </c>
      <c r="D42" s="1" t="s">
        <v>766</v>
      </c>
      <c r="E42" s="1" t="s">
        <v>423</v>
      </c>
      <c r="F42" s="1" t="s">
        <v>82</v>
      </c>
      <c r="G42" s="1" t="s">
        <v>82</v>
      </c>
      <c r="J42" s="204" t="str">
        <f>J41&amp;".950"</f>
        <v>pink.950</v>
      </c>
      <c r="K42" s="441" t="str">
        <f t="shared" ref="K42:K54" si="21">SetIt(K42, M42, N42, O42, "#" &amp; _xlfn.CONCAT(M42,N42,O42))</f>
        <v/>
      </c>
      <c r="L42" s="1" t="s">
        <v>781</v>
      </c>
      <c r="M42" s="1" t="s">
        <v>340</v>
      </c>
      <c r="N42" s="1" t="s">
        <v>337</v>
      </c>
      <c r="O42" s="1" t="s">
        <v>423</v>
      </c>
      <c r="R42" s="204" t="str">
        <f>R41&amp;".950"</f>
        <v>deep.purple.950</v>
      </c>
      <c r="S42" s="453" t="str">
        <f t="shared" ref="S42:S54" si="22">SetIt(S42, U42, V42, W42, "#" &amp; _xlfn.CONCAT(U42,V42,W42))</f>
        <v/>
      </c>
      <c r="T42" s="1" t="s">
        <v>795</v>
      </c>
      <c r="U42" s="1" t="s">
        <v>423</v>
      </c>
      <c r="V42" s="1" t="s">
        <v>343</v>
      </c>
      <c r="W42" s="1" t="s">
        <v>85</v>
      </c>
    </row>
    <row r="43" spans="1:23" x14ac:dyDescent="0.3">
      <c r="B43" s="204" t="str">
        <f>B41&amp;".900"</f>
        <v>blue.gray.900</v>
      </c>
      <c r="C43" s="426" t="str">
        <f t="shared" si="20"/>
        <v/>
      </c>
      <c r="D43" s="1" t="s">
        <v>763</v>
      </c>
      <c r="E43" s="1" t="s">
        <v>424</v>
      </c>
      <c r="F43" s="1" t="s">
        <v>374</v>
      </c>
      <c r="G43" s="1" t="s">
        <v>346</v>
      </c>
      <c r="J43" s="204" t="str">
        <f>J41&amp;".900"</f>
        <v>pink.900</v>
      </c>
      <c r="K43" s="437" t="str">
        <f t="shared" si="21"/>
        <v/>
      </c>
      <c r="L43" s="1" t="s">
        <v>776</v>
      </c>
      <c r="M43" s="1" t="s">
        <v>85</v>
      </c>
      <c r="N43" s="1" t="s">
        <v>366</v>
      </c>
      <c r="O43" s="1" t="s">
        <v>424</v>
      </c>
      <c r="R43" s="204" t="str">
        <f>R41&amp;".900"</f>
        <v>deep.purple.900</v>
      </c>
      <c r="S43" s="452" t="str">
        <f t="shared" si="22"/>
        <v/>
      </c>
      <c r="T43" s="1" t="s">
        <v>794</v>
      </c>
      <c r="U43" s="1" t="s">
        <v>424</v>
      </c>
      <c r="V43" s="1" t="s">
        <v>522</v>
      </c>
      <c r="W43" s="1" t="s">
        <v>337</v>
      </c>
    </row>
    <row r="44" spans="1:23" x14ac:dyDescent="0.3">
      <c r="B44" s="204" t="str">
        <f>B41&amp;".800"</f>
        <v>blue.gray.800</v>
      </c>
      <c r="C44" s="421" t="str">
        <f t="shared" si="20"/>
        <v/>
      </c>
      <c r="D44" s="1" t="s">
        <v>758</v>
      </c>
      <c r="E44" s="1" t="s">
        <v>68</v>
      </c>
      <c r="F44" s="1" t="s">
        <v>526</v>
      </c>
      <c r="G44" s="1" t="s">
        <v>60</v>
      </c>
      <c r="J44" s="204" t="str">
        <f>J41&amp;".800"</f>
        <v>pink.800</v>
      </c>
      <c r="K44" s="432" t="str">
        <f t="shared" si="21"/>
        <v/>
      </c>
      <c r="L44" s="1" t="s">
        <v>771</v>
      </c>
      <c r="M44" s="1" t="s">
        <v>343</v>
      </c>
      <c r="N44" s="1" t="s">
        <v>401</v>
      </c>
      <c r="O44" s="1" t="s">
        <v>68</v>
      </c>
      <c r="R44" s="204" t="str">
        <f>R41&amp;".800"</f>
        <v>deep.purple.800</v>
      </c>
      <c r="S44" s="451" t="str">
        <f t="shared" si="22"/>
        <v/>
      </c>
      <c r="T44" s="1" t="s">
        <v>793</v>
      </c>
      <c r="U44" s="1" t="s">
        <v>40</v>
      </c>
      <c r="V44" s="1" t="s">
        <v>524</v>
      </c>
      <c r="W44" s="1" t="s">
        <v>569</v>
      </c>
    </row>
    <row r="45" spans="1:23" x14ac:dyDescent="0.3">
      <c r="B45" s="204" t="str">
        <f>B41&amp;".700"</f>
        <v>blue.gray.700</v>
      </c>
      <c r="C45" s="424" t="str">
        <f t="shared" si="20"/>
        <v/>
      </c>
      <c r="D45" s="1" t="s">
        <v>761</v>
      </c>
      <c r="E45" s="1" t="s">
        <v>0</v>
      </c>
      <c r="F45" s="1" t="s">
        <v>341</v>
      </c>
      <c r="G45" s="1" t="s">
        <v>401</v>
      </c>
      <c r="J45" s="204" t="str">
        <f>J41&amp;".700"</f>
        <v>pink.700</v>
      </c>
      <c r="K45" s="438" t="str">
        <f t="shared" si="21"/>
        <v/>
      </c>
      <c r="L45" s="1" t="s">
        <v>778</v>
      </c>
      <c r="M45" s="1" t="s">
        <v>367</v>
      </c>
      <c r="N45" s="1" t="s">
        <v>637</v>
      </c>
      <c r="O45" s="1" t="s">
        <v>769</v>
      </c>
      <c r="R45" s="204" t="str">
        <f>R41&amp;".700"</f>
        <v>deep.purple.700</v>
      </c>
      <c r="S45" s="444" t="str">
        <f t="shared" si="22"/>
        <v/>
      </c>
      <c r="T45" s="1" t="s">
        <v>785</v>
      </c>
      <c r="U45" s="1" t="s">
        <v>83</v>
      </c>
      <c r="V45" s="1" t="s">
        <v>525</v>
      </c>
      <c r="W45" s="1" t="s">
        <v>65</v>
      </c>
    </row>
    <row r="46" spans="1:23" x14ac:dyDescent="0.3">
      <c r="B46" s="204" t="str">
        <f>B41&amp;".600"</f>
        <v>blue.gray.600</v>
      </c>
      <c r="C46" s="420" t="str">
        <f t="shared" si="20"/>
        <v/>
      </c>
      <c r="D46" s="1" t="s">
        <v>757</v>
      </c>
      <c r="E46" s="1" t="s">
        <v>91</v>
      </c>
      <c r="F46" s="1" t="s">
        <v>754</v>
      </c>
      <c r="G46" s="1" t="s">
        <v>113</v>
      </c>
      <c r="J46" s="204" t="str">
        <f>J41&amp;".600"</f>
        <v>pink.600</v>
      </c>
      <c r="K46" s="439" t="str">
        <f t="shared" si="21"/>
        <v/>
      </c>
      <c r="L46" s="1" t="s">
        <v>779</v>
      </c>
      <c r="M46" s="1" t="s">
        <v>424</v>
      </c>
      <c r="N46" s="1" t="s">
        <v>163</v>
      </c>
      <c r="O46" s="1" t="s">
        <v>72</v>
      </c>
      <c r="R46" s="204" t="str">
        <f>R41&amp;".600"</f>
        <v>deep.purple.600</v>
      </c>
      <c r="S46" s="448" t="str">
        <f t="shared" si="22"/>
        <v/>
      </c>
      <c r="T46" s="1" t="s">
        <v>790</v>
      </c>
      <c r="U46" s="1" t="s">
        <v>602</v>
      </c>
      <c r="V46" s="1" t="s">
        <v>527</v>
      </c>
      <c r="W46" s="1" t="s">
        <v>397</v>
      </c>
    </row>
    <row r="47" spans="1:23" x14ac:dyDescent="0.3">
      <c r="B47" s="204" t="str">
        <f>B41&amp;".500"</f>
        <v>blue.gray.500</v>
      </c>
      <c r="C47" s="422" t="str">
        <f t="shared" si="20"/>
        <v/>
      </c>
      <c r="D47" s="1" t="s">
        <v>759</v>
      </c>
      <c r="E47" s="1" t="s">
        <v>755</v>
      </c>
      <c r="F47" s="1" t="s">
        <v>534</v>
      </c>
      <c r="G47" s="1" t="s">
        <v>602</v>
      </c>
      <c r="J47" s="204" t="str">
        <f>J41&amp;".500"</f>
        <v>pink.500</v>
      </c>
      <c r="K47" s="436" t="str">
        <f t="shared" si="21"/>
        <v/>
      </c>
      <c r="L47" s="1" t="s">
        <v>775</v>
      </c>
      <c r="M47" s="1" t="s">
        <v>342</v>
      </c>
      <c r="N47" s="1" t="s">
        <v>7</v>
      </c>
      <c r="O47" s="1" t="s">
        <v>172</v>
      </c>
      <c r="R47" s="204" t="str">
        <f>R41&amp;".500"</f>
        <v>deep.purple.500</v>
      </c>
      <c r="S47" s="450" t="str">
        <f t="shared" si="22"/>
        <v/>
      </c>
      <c r="T47" s="1" t="s">
        <v>792</v>
      </c>
      <c r="U47" s="1" t="s">
        <v>101</v>
      </c>
      <c r="V47" s="1" t="s">
        <v>379</v>
      </c>
      <c r="W47" s="1" t="s">
        <v>428</v>
      </c>
    </row>
    <row r="48" spans="1:23" x14ac:dyDescent="0.3">
      <c r="B48" s="204" t="str">
        <f>B41&amp;".450"</f>
        <v>blue.gray.450</v>
      </c>
      <c r="C48" s="20" t="str">
        <f t="shared" si="20"/>
        <v/>
      </c>
      <c r="D48" s="1" t="s">
        <v>756</v>
      </c>
      <c r="E48" s="1" t="s">
        <v>148</v>
      </c>
      <c r="F48" s="1" t="s">
        <v>84</v>
      </c>
      <c r="G48" s="1" t="s">
        <v>116</v>
      </c>
      <c r="J48" s="204" t="str">
        <f>J41&amp;".450"</f>
        <v>pink.450</v>
      </c>
      <c r="K48" s="18" t="str">
        <f t="shared" si="21"/>
        <v/>
      </c>
      <c r="L48" s="1" t="s">
        <v>777</v>
      </c>
      <c r="M48" s="1" t="s">
        <v>338</v>
      </c>
      <c r="N48" s="1" t="s">
        <v>375</v>
      </c>
      <c r="O48" s="1" t="s">
        <v>75</v>
      </c>
      <c r="R48" s="204" t="str">
        <f>R41&amp;".450"</f>
        <v>deep.purple.450</v>
      </c>
      <c r="S48" s="19" t="str">
        <f t="shared" si="22"/>
        <v/>
      </c>
      <c r="T48" s="1" t="s">
        <v>786</v>
      </c>
      <c r="U48" s="1" t="s">
        <v>92</v>
      </c>
      <c r="V48" s="1" t="s">
        <v>408</v>
      </c>
      <c r="W48" s="1" t="s">
        <v>64</v>
      </c>
    </row>
    <row r="49" spans="1:23" x14ac:dyDescent="0.3">
      <c r="B49" s="204" t="str">
        <f>B41&amp;".400"</f>
        <v>blue.gray.400</v>
      </c>
      <c r="C49" s="428" t="str">
        <f t="shared" si="20"/>
        <v/>
      </c>
      <c r="D49" s="1" t="s">
        <v>765</v>
      </c>
      <c r="E49" s="1" t="s">
        <v>180</v>
      </c>
      <c r="F49" s="1" t="s">
        <v>755</v>
      </c>
      <c r="G49" s="1" t="s">
        <v>133</v>
      </c>
      <c r="J49" s="204" t="str">
        <f>J41&amp;".400"</f>
        <v>pink.400</v>
      </c>
      <c r="K49" s="433" t="str">
        <f t="shared" si="21"/>
        <v/>
      </c>
      <c r="L49" s="1" t="s">
        <v>772</v>
      </c>
      <c r="M49" s="1" t="s">
        <v>723</v>
      </c>
      <c r="N49" s="1" t="s">
        <v>515</v>
      </c>
      <c r="O49" s="1" t="s">
        <v>352</v>
      </c>
      <c r="R49" s="204" t="str">
        <f>R41&amp;".400"</f>
        <v>deep.purple.400</v>
      </c>
      <c r="S49" s="449" t="str">
        <f t="shared" si="22"/>
        <v/>
      </c>
      <c r="T49" s="1" t="s">
        <v>791</v>
      </c>
      <c r="U49" s="1" t="s">
        <v>603</v>
      </c>
      <c r="V49" s="1" t="s">
        <v>3</v>
      </c>
      <c r="W49" s="1" t="s">
        <v>754</v>
      </c>
    </row>
    <row r="50" spans="1:23" x14ac:dyDescent="0.3">
      <c r="B50" s="204" t="str">
        <f>B41&amp;".300"</f>
        <v>blue.gray.300</v>
      </c>
      <c r="C50" s="427" t="str">
        <f t="shared" si="20"/>
        <v/>
      </c>
      <c r="D50" s="1" t="s">
        <v>764</v>
      </c>
      <c r="E50" s="1" t="s">
        <v>536</v>
      </c>
      <c r="F50" s="1" t="s">
        <v>98</v>
      </c>
      <c r="G50" s="1" t="s">
        <v>190</v>
      </c>
      <c r="J50" s="204" t="str">
        <f>J41&amp;".300"</f>
        <v>pink.300</v>
      </c>
      <c r="K50" s="440" t="str">
        <f t="shared" si="21"/>
        <v/>
      </c>
      <c r="L50" s="1" t="s">
        <v>780</v>
      </c>
      <c r="M50" s="1" t="s">
        <v>769</v>
      </c>
      <c r="N50" s="1" t="s">
        <v>123</v>
      </c>
      <c r="O50" s="1" t="s">
        <v>20</v>
      </c>
      <c r="R50" s="204" t="str">
        <f>R41&amp;".300"</f>
        <v>deep.purple.300</v>
      </c>
      <c r="S50" s="445" t="str">
        <f t="shared" si="22"/>
        <v/>
      </c>
      <c r="T50" s="1" t="s">
        <v>787</v>
      </c>
      <c r="U50" s="1" t="s">
        <v>192</v>
      </c>
      <c r="V50" s="1" t="s">
        <v>533</v>
      </c>
      <c r="W50" s="1" t="s">
        <v>784</v>
      </c>
    </row>
    <row r="51" spans="1:23" x14ac:dyDescent="0.3">
      <c r="B51" s="204" t="str">
        <f>B41&amp;".200"</f>
        <v>blue.gray.200</v>
      </c>
      <c r="C51" s="425" t="str">
        <f t="shared" si="20"/>
        <v/>
      </c>
      <c r="D51" s="1" t="s">
        <v>762</v>
      </c>
      <c r="E51" s="1" t="s">
        <v>179</v>
      </c>
      <c r="F51" s="1" t="s">
        <v>173</v>
      </c>
      <c r="G51" s="1" t="s">
        <v>603</v>
      </c>
      <c r="J51" s="204" t="str">
        <f>J41&amp;".200"</f>
        <v>pink.200</v>
      </c>
      <c r="K51" s="434" t="str">
        <f t="shared" si="21"/>
        <v/>
      </c>
      <c r="L51" s="1" t="s">
        <v>773</v>
      </c>
      <c r="M51" s="1" t="s">
        <v>455</v>
      </c>
      <c r="N51" s="1" t="s">
        <v>124</v>
      </c>
      <c r="O51" s="1" t="s">
        <v>169</v>
      </c>
      <c r="R51" s="204" t="str">
        <f>R41&amp;".200"</f>
        <v>deep.purple.200</v>
      </c>
      <c r="S51" s="446" t="str">
        <f t="shared" si="22"/>
        <v/>
      </c>
      <c r="T51" s="1" t="s">
        <v>788</v>
      </c>
      <c r="U51" s="1" t="s">
        <v>170</v>
      </c>
      <c r="V51" s="1" t="s">
        <v>194</v>
      </c>
      <c r="W51" s="1" t="s">
        <v>527</v>
      </c>
    </row>
    <row r="52" spans="1:23" x14ac:dyDescent="0.3">
      <c r="B52" s="204" t="str">
        <f>B41&amp;".100"</f>
        <v>blue.gray.100</v>
      </c>
      <c r="C52" s="423" t="str">
        <f t="shared" si="20"/>
        <v/>
      </c>
      <c r="D52" s="1" t="s">
        <v>760</v>
      </c>
      <c r="E52" s="1" t="s">
        <v>2</v>
      </c>
      <c r="F52" s="1" t="s">
        <v>127</v>
      </c>
      <c r="G52" s="1" t="s">
        <v>457</v>
      </c>
      <c r="J52" s="204" t="str">
        <f>J41&amp;".100"</f>
        <v>pink.100</v>
      </c>
      <c r="K52" s="435" t="str">
        <f t="shared" si="21"/>
        <v/>
      </c>
      <c r="L52" s="1" t="s">
        <v>774</v>
      </c>
      <c r="M52" s="1" t="s">
        <v>475</v>
      </c>
      <c r="N52" s="1" t="s">
        <v>191</v>
      </c>
      <c r="O52" s="1" t="s">
        <v>4</v>
      </c>
      <c r="R52" s="204" t="str">
        <f>R41&amp;".100"</f>
        <v>deep.purple.100</v>
      </c>
      <c r="S52" s="447" t="str">
        <f t="shared" si="22"/>
        <v/>
      </c>
      <c r="T52" s="1" t="s">
        <v>789</v>
      </c>
      <c r="U52" s="1" t="s">
        <v>7</v>
      </c>
      <c r="V52" s="1" t="s">
        <v>404</v>
      </c>
      <c r="W52" s="1" t="s">
        <v>75</v>
      </c>
    </row>
    <row r="53" spans="1:23" x14ac:dyDescent="0.3">
      <c r="B53" s="204" t="str">
        <f>B41&amp;".050"</f>
        <v>blue.gray.050</v>
      </c>
      <c r="C53" s="430" t="str">
        <f t="shared" ref="C53:C54" si="23">SetIt(C53, E53, F53, G53, "#" &amp; _xlfn.CONCAT(E53,F53,G53))</f>
        <v/>
      </c>
      <c r="D53" s="1" t="s">
        <v>767</v>
      </c>
      <c r="E53" s="1" t="s">
        <v>103</v>
      </c>
      <c r="F53" s="1" t="s">
        <v>2</v>
      </c>
      <c r="G53" s="1" t="s">
        <v>408</v>
      </c>
      <c r="J53" s="204" t="str">
        <f>J41&amp;".050"</f>
        <v>pink.050</v>
      </c>
      <c r="K53" s="442" t="str">
        <f t="shared" si="21"/>
        <v/>
      </c>
      <c r="L53" s="1" t="s">
        <v>782</v>
      </c>
      <c r="M53" s="1" t="s">
        <v>148</v>
      </c>
      <c r="N53" s="1" t="s">
        <v>71</v>
      </c>
      <c r="O53" s="1" t="s">
        <v>128</v>
      </c>
      <c r="R53" s="204" t="str">
        <f>R41&amp;".050"</f>
        <v>deep.purple.050</v>
      </c>
      <c r="S53" s="454" t="str">
        <f t="shared" si="22"/>
        <v/>
      </c>
      <c r="T53" s="1" t="s">
        <v>796</v>
      </c>
      <c r="U53" s="1" t="s">
        <v>709</v>
      </c>
      <c r="V53" s="1" t="s">
        <v>88</v>
      </c>
      <c r="W53" s="1" t="s">
        <v>434</v>
      </c>
    </row>
    <row r="54" spans="1:23" x14ac:dyDescent="0.3">
      <c r="B54" s="204" t="str">
        <f>B41&amp;".010"</f>
        <v>blue.gray.010</v>
      </c>
      <c r="C54" s="431" t="str">
        <f t="shared" si="23"/>
        <v/>
      </c>
      <c r="D54" s="1" t="s">
        <v>768</v>
      </c>
      <c r="E54" s="1" t="s">
        <v>638</v>
      </c>
      <c r="F54" s="1" t="s">
        <v>181</v>
      </c>
      <c r="G54" s="1" t="s">
        <v>74</v>
      </c>
      <c r="J54" s="204" t="str">
        <f>J41&amp;".010"</f>
        <v>pink.010</v>
      </c>
      <c r="K54" s="443" t="str">
        <f t="shared" si="21"/>
        <v/>
      </c>
      <c r="L54" s="1" t="s">
        <v>783</v>
      </c>
      <c r="M54" s="1" t="s">
        <v>94</v>
      </c>
      <c r="N54" s="1" t="s">
        <v>770</v>
      </c>
      <c r="O54" s="1" t="s">
        <v>375</v>
      </c>
      <c r="R54" s="204" t="str">
        <f>R41&amp;".010"</f>
        <v>deep.purple.010</v>
      </c>
      <c r="S54" s="455" t="str">
        <f t="shared" si="22"/>
        <v/>
      </c>
      <c r="T54" s="1" t="s">
        <v>797</v>
      </c>
      <c r="U54" s="1" t="s">
        <v>404</v>
      </c>
      <c r="V54" s="1" t="s">
        <v>191</v>
      </c>
      <c r="W54" s="1" t="s">
        <v>4</v>
      </c>
    </row>
    <row r="55" spans="1:23" x14ac:dyDescent="0.3">
      <c r="M55" s="205">
        <f>HEX2DEC(M57)</f>
        <v>255</v>
      </c>
      <c r="N55" s="205">
        <f t="shared" ref="N55:O55" si="24">HEX2DEC(N57)</f>
        <v>64</v>
      </c>
      <c r="O55" s="205">
        <f t="shared" si="24"/>
        <v>129</v>
      </c>
      <c r="U55" s="205">
        <f>HEX2DEC(U57)</f>
        <v>124</v>
      </c>
      <c r="V55" s="205">
        <f t="shared" ref="V55:W55" si="25">HEX2DEC(V57)</f>
        <v>77</v>
      </c>
      <c r="W55" s="205">
        <f t="shared" si="25"/>
        <v>255</v>
      </c>
    </row>
    <row r="56" spans="1:23" x14ac:dyDescent="0.3">
      <c r="I56" s="1" t="s">
        <v>464</v>
      </c>
      <c r="J56" s="204" t="str">
        <f>J41&amp;".a600"</f>
        <v>pink.a600</v>
      </c>
      <c r="K56" s="456" t="str">
        <f>SetIt(K56, M56, N56, O56, "#" &amp; _xlfn.CONCAT(M56,N56,O56))</f>
        <v/>
      </c>
      <c r="L56" s="1" t="s">
        <v>798</v>
      </c>
      <c r="M56" s="1" t="s">
        <v>22</v>
      </c>
      <c r="N56" s="1" t="s">
        <v>112</v>
      </c>
      <c r="O56" s="1" t="s">
        <v>525</v>
      </c>
      <c r="Q56" s="1" t="s">
        <v>464</v>
      </c>
      <c r="R56" s="204" t="str">
        <f>R41&amp;".a600"</f>
        <v>deep.purple.a600</v>
      </c>
      <c r="S56" s="459" t="str">
        <f t="shared" ref="S56:S59" si="26">SetIt(S56, U56, V56, W56, "#" &amp; _xlfn.CONCAT(U56,V56,W56))</f>
        <v/>
      </c>
      <c r="T56" s="1" t="s">
        <v>801</v>
      </c>
      <c r="U56" s="1" t="s">
        <v>754</v>
      </c>
      <c r="V56" s="1" t="s">
        <v>80</v>
      </c>
      <c r="W56" s="1" t="s">
        <v>22</v>
      </c>
    </row>
    <row r="57" spans="1:23" x14ac:dyDescent="0.3">
      <c r="J57" s="204" t="str">
        <f>J41&amp;".a450"</f>
        <v>pink.a450</v>
      </c>
      <c r="K57" s="21" t="str">
        <f>SetIt(K57, M57, N57, O57, "#" &amp; _xlfn.CONCAT(M57,N57,O57))</f>
        <v/>
      </c>
      <c r="L57" s="1" t="s">
        <v>143</v>
      </c>
      <c r="M57" s="1" t="s">
        <v>18</v>
      </c>
      <c r="N57" s="1">
        <v>40</v>
      </c>
      <c r="O57" s="1">
        <v>81</v>
      </c>
      <c r="R57" s="204" t="str">
        <f>R41&amp;".a450"</f>
        <v>deep.purple.a450</v>
      </c>
      <c r="S57" s="22" t="str">
        <f t="shared" si="26"/>
        <v/>
      </c>
      <c r="T57" s="1" t="s">
        <v>137</v>
      </c>
      <c r="U57" s="1" t="s">
        <v>96</v>
      </c>
      <c r="V57" s="1" t="s">
        <v>97</v>
      </c>
      <c r="W57" s="1" t="s">
        <v>18</v>
      </c>
    </row>
    <row r="58" spans="1:23" x14ac:dyDescent="0.3">
      <c r="J58" s="204" t="str">
        <f>J41&amp;".a400"</f>
        <v>pink.a400</v>
      </c>
      <c r="K58" s="457" t="str">
        <f>SetIt(K58, M58, N58, O58, "#" &amp; _xlfn.CONCAT(M58,N58,O58))</f>
        <v/>
      </c>
      <c r="L58" s="1" t="s">
        <v>799</v>
      </c>
      <c r="M58" s="1" t="s">
        <v>366</v>
      </c>
      <c r="N58" s="1" t="s">
        <v>508</v>
      </c>
      <c r="O58" s="1" t="s">
        <v>178</v>
      </c>
      <c r="R58" s="204" t="str">
        <f>R41&amp;".a400"</f>
        <v>deep.purple.a400</v>
      </c>
      <c r="S58" s="460" t="str">
        <f t="shared" si="26"/>
        <v/>
      </c>
      <c r="T58" s="1" t="s">
        <v>802</v>
      </c>
      <c r="U58" s="1" t="s">
        <v>350</v>
      </c>
      <c r="V58" s="1" t="s">
        <v>170</v>
      </c>
      <c r="W58" s="1" t="s">
        <v>366</v>
      </c>
    </row>
    <row r="59" spans="1:23" x14ac:dyDescent="0.3">
      <c r="J59" s="204" t="str">
        <f>J41&amp;".a300"</f>
        <v>pink.a300</v>
      </c>
      <c r="K59" s="458" t="str">
        <f>SetIt(K59, M59, N59, O59, "#" &amp; _xlfn.CONCAT(M59,N59,O59))</f>
        <v/>
      </c>
      <c r="L59" s="1" t="s">
        <v>800</v>
      </c>
      <c r="M59" s="1" t="s">
        <v>397</v>
      </c>
      <c r="N59" s="1" t="s">
        <v>2</v>
      </c>
      <c r="O59" s="1" t="s">
        <v>163</v>
      </c>
      <c r="R59" s="204" t="str">
        <f>R41&amp;".a300"</f>
        <v>deep.purple.a300</v>
      </c>
      <c r="S59" s="461" t="str">
        <f t="shared" si="26"/>
        <v/>
      </c>
      <c r="T59" s="1" t="s">
        <v>803</v>
      </c>
      <c r="U59" s="1" t="s">
        <v>120</v>
      </c>
      <c r="V59" s="1" t="s">
        <v>380</v>
      </c>
      <c r="W59" s="1" t="s">
        <v>397</v>
      </c>
    </row>
    <row r="61" spans="1:23" x14ac:dyDescent="0.3">
      <c r="A61" s="1" t="s">
        <v>464</v>
      </c>
      <c r="B61" s="1" t="s">
        <v>422</v>
      </c>
      <c r="E61" s="205">
        <f>HEX2DEC(E68)</f>
        <v>92</v>
      </c>
      <c r="F61" s="205">
        <f t="shared" ref="F61:G61" si="27">HEX2DEC(F68)</f>
        <v>107</v>
      </c>
      <c r="G61" s="205">
        <f t="shared" si="27"/>
        <v>220</v>
      </c>
      <c r="H61" s="205"/>
      <c r="I61" s="1" t="s">
        <v>464</v>
      </c>
      <c r="J61" s="1" t="s">
        <v>395</v>
      </c>
      <c r="M61" s="205">
        <f>HEX2DEC(M68)</f>
        <v>33</v>
      </c>
      <c r="N61" s="205">
        <f t="shared" ref="N61:O61" si="28">HEX2DEC(N68)</f>
        <v>150</v>
      </c>
      <c r="O61" s="205">
        <f t="shared" si="28"/>
        <v>243</v>
      </c>
      <c r="P61" s="205"/>
      <c r="Q61" s="1" t="s">
        <v>464</v>
      </c>
      <c r="R61" s="1" t="s">
        <v>396</v>
      </c>
      <c r="U61" s="205">
        <f>HEX2DEC(U68)</f>
        <v>38</v>
      </c>
      <c r="V61" s="205">
        <f t="shared" ref="V61:W61" si="29">HEX2DEC(V68)</f>
        <v>198</v>
      </c>
      <c r="W61" s="205">
        <f t="shared" si="29"/>
        <v>243</v>
      </c>
    </row>
    <row r="62" spans="1:23" x14ac:dyDescent="0.3">
      <c r="B62" s="204" t="str">
        <f>B61&amp;".950"</f>
        <v>indigo.950</v>
      </c>
      <c r="C62" s="229" t="str">
        <f t="shared" ref="C62:C74" si="30">SetIt(C62, E62, F62, G62, "#" &amp; _xlfn.CONCAT(E62,F62,G62))</f>
        <v/>
      </c>
      <c r="D62" s="1" t="s">
        <v>448</v>
      </c>
      <c r="E62" s="1" t="s">
        <v>423</v>
      </c>
      <c r="F62" s="1" t="s">
        <v>423</v>
      </c>
      <c r="G62" s="1" t="s">
        <v>340</v>
      </c>
      <c r="J62" s="204" t="str">
        <f>J61&amp;".950"</f>
        <v>blue.950</v>
      </c>
      <c r="K62" s="232" t="str">
        <f t="shared" ref="K62:K73" si="31">SetIt(K62, M62, N62, O62, "#" &amp; _xlfn.CONCAT(M62,N62,O62))</f>
        <v/>
      </c>
      <c r="L62" s="1" t="s">
        <v>451</v>
      </c>
      <c r="M62" s="1" t="s">
        <v>337</v>
      </c>
      <c r="N62" s="1" t="s">
        <v>82</v>
      </c>
      <c r="O62" s="1" t="s">
        <v>22</v>
      </c>
      <c r="R62" s="204" t="str">
        <f>R61&amp;".950"</f>
        <v>cyan.950</v>
      </c>
      <c r="S62" s="216" t="str">
        <f t="shared" ref="S62:S74" si="32">SetIt(S62, U62, V62, W62, "#" &amp; _xlfn.CONCAT(U62,V62,W62))</f>
        <v/>
      </c>
      <c r="T62" s="1" t="s">
        <v>419</v>
      </c>
      <c r="U62" s="1" t="s">
        <v>343</v>
      </c>
      <c r="V62" s="1" t="s">
        <v>340</v>
      </c>
      <c r="W62" s="1" t="s">
        <v>22</v>
      </c>
    </row>
    <row r="63" spans="1:23" x14ac:dyDescent="0.3">
      <c r="B63" s="204" t="str">
        <f>B61&amp;".900"</f>
        <v>indigo.900</v>
      </c>
      <c r="C63" s="220" t="str">
        <f t="shared" si="30"/>
        <v/>
      </c>
      <c r="D63" s="1" t="s">
        <v>439</v>
      </c>
      <c r="E63" s="1" t="s">
        <v>424</v>
      </c>
      <c r="F63" s="1" t="s">
        <v>425</v>
      </c>
      <c r="G63" s="1" t="s">
        <v>82</v>
      </c>
      <c r="J63" s="204" t="str">
        <f>J61&amp;".900"</f>
        <v>blue.900</v>
      </c>
      <c r="K63" s="198" t="str">
        <f t="shared" si="31"/>
        <v/>
      </c>
      <c r="L63" s="1" t="s">
        <v>389</v>
      </c>
      <c r="M63" s="1" t="s">
        <v>366</v>
      </c>
      <c r="N63" s="1" t="s">
        <v>367</v>
      </c>
      <c r="O63" s="1" t="s">
        <v>340</v>
      </c>
      <c r="R63" s="204" t="str">
        <f>R61&amp;".900"</f>
        <v>cyan.900</v>
      </c>
      <c r="S63" s="207" t="str">
        <f t="shared" si="32"/>
        <v/>
      </c>
      <c r="T63" s="1" t="s">
        <v>410</v>
      </c>
      <c r="U63" s="1" t="s">
        <v>342</v>
      </c>
      <c r="V63" s="1" t="s">
        <v>343</v>
      </c>
      <c r="W63" s="1" t="s">
        <v>340</v>
      </c>
    </row>
    <row r="64" spans="1:23" x14ac:dyDescent="0.3">
      <c r="B64" s="204" t="str">
        <f>B61&amp;".800"</f>
        <v>indigo.800</v>
      </c>
      <c r="C64" s="225" t="str">
        <f t="shared" si="30"/>
        <v/>
      </c>
      <c r="D64" s="1" t="s">
        <v>444</v>
      </c>
      <c r="E64" s="1" t="s">
        <v>426</v>
      </c>
      <c r="F64" s="1" t="s">
        <v>427</v>
      </c>
      <c r="G64" s="1" t="s">
        <v>339</v>
      </c>
      <c r="J64" s="204" t="str">
        <f>J61&amp;".800"</f>
        <v>blue.800</v>
      </c>
      <c r="K64" s="203" t="str">
        <f t="shared" si="31"/>
        <v/>
      </c>
      <c r="L64" s="1" t="s">
        <v>394</v>
      </c>
      <c r="M64" s="1" t="s">
        <v>368</v>
      </c>
      <c r="N64" s="1" t="s">
        <v>369</v>
      </c>
      <c r="O64" s="1" t="s">
        <v>82</v>
      </c>
      <c r="R64" s="204" t="str">
        <f>R61&amp;".800"</f>
        <v>cyan.800</v>
      </c>
      <c r="S64" s="208" t="str">
        <f t="shared" si="32"/>
        <v/>
      </c>
      <c r="T64" s="1" t="s">
        <v>411</v>
      </c>
      <c r="U64" s="1" t="s">
        <v>397</v>
      </c>
      <c r="V64" s="1" t="s">
        <v>374</v>
      </c>
      <c r="W64" s="1" t="s">
        <v>82</v>
      </c>
    </row>
    <row r="65" spans="1:23" x14ac:dyDescent="0.3">
      <c r="B65" s="204" t="str">
        <f>B61&amp;".700"</f>
        <v>indigo.700</v>
      </c>
      <c r="C65" s="224" t="str">
        <f t="shared" si="30"/>
        <v/>
      </c>
      <c r="D65" s="1" t="s">
        <v>443</v>
      </c>
      <c r="E65" s="1" t="s">
        <v>372</v>
      </c>
      <c r="F65" s="1" t="s">
        <v>428</v>
      </c>
      <c r="G65" s="1" t="s">
        <v>429</v>
      </c>
      <c r="J65" s="204" t="str">
        <f>J61&amp;".700"</f>
        <v>blue.700</v>
      </c>
      <c r="K65" s="195" t="str">
        <f t="shared" si="31"/>
        <v/>
      </c>
      <c r="L65" s="1" t="s">
        <v>386</v>
      </c>
      <c r="M65" s="1" t="s">
        <v>110</v>
      </c>
      <c r="N65" s="1" t="s">
        <v>370</v>
      </c>
      <c r="O65" s="1" t="s">
        <v>343</v>
      </c>
      <c r="R65" s="204" t="str">
        <f>R61&amp;".700"</f>
        <v>cyan.700</v>
      </c>
      <c r="S65" s="213" t="str">
        <f t="shared" si="32"/>
        <v/>
      </c>
      <c r="T65" s="1" t="s">
        <v>416</v>
      </c>
      <c r="U65" s="1" t="s">
        <v>398</v>
      </c>
      <c r="V65" s="1" t="s">
        <v>399</v>
      </c>
      <c r="W65" s="1" t="s">
        <v>343</v>
      </c>
    </row>
    <row r="66" spans="1:23" x14ac:dyDescent="0.3">
      <c r="B66" s="204" t="str">
        <f>B61&amp;".600"</f>
        <v>indigo.600</v>
      </c>
      <c r="C66" s="222" t="str">
        <f t="shared" si="30"/>
        <v/>
      </c>
      <c r="D66" s="1" t="s">
        <v>441</v>
      </c>
      <c r="E66" s="1" t="s">
        <v>430</v>
      </c>
      <c r="F66" s="1" t="s">
        <v>431</v>
      </c>
      <c r="G66" s="1" t="s">
        <v>399</v>
      </c>
      <c r="J66" s="204" t="str">
        <f>J61&amp;".600"</f>
        <v>blue.600</v>
      </c>
      <c r="K66" s="194" t="str">
        <f t="shared" si="31"/>
        <v/>
      </c>
      <c r="L66" s="1" t="s">
        <v>385</v>
      </c>
      <c r="M66" s="1" t="s">
        <v>371</v>
      </c>
      <c r="N66" s="1" t="s">
        <v>372</v>
      </c>
      <c r="O66" s="1" t="s">
        <v>339</v>
      </c>
      <c r="R66" s="204" t="str">
        <f>R61&amp;".600"</f>
        <v>cyan.600</v>
      </c>
      <c r="S66" s="210" t="str">
        <f t="shared" si="32"/>
        <v/>
      </c>
      <c r="T66" s="1" t="s">
        <v>413</v>
      </c>
      <c r="U66" s="1" t="s">
        <v>400</v>
      </c>
      <c r="V66" s="1" t="s">
        <v>62</v>
      </c>
      <c r="W66" s="1" t="s">
        <v>339</v>
      </c>
    </row>
    <row r="67" spans="1:23" x14ac:dyDescent="0.3">
      <c r="B67" s="204" t="str">
        <f>B61&amp;".500"</f>
        <v>indigo.500</v>
      </c>
      <c r="C67" s="226" t="str">
        <f t="shared" si="30"/>
        <v/>
      </c>
      <c r="D67" s="1" t="s">
        <v>445</v>
      </c>
      <c r="E67" s="1" t="s">
        <v>185</v>
      </c>
      <c r="F67" s="1" t="s">
        <v>84</v>
      </c>
      <c r="G67" s="1" t="s">
        <v>65</v>
      </c>
      <c r="J67" s="204" t="str">
        <f>J61&amp;".500"</f>
        <v>blue.500</v>
      </c>
      <c r="K67" s="201" t="str">
        <f t="shared" si="31"/>
        <v/>
      </c>
      <c r="L67" s="1" t="s">
        <v>392</v>
      </c>
      <c r="M67" s="1" t="s">
        <v>69</v>
      </c>
      <c r="N67" s="1" t="s">
        <v>373</v>
      </c>
      <c r="O67" s="1" t="s">
        <v>348</v>
      </c>
      <c r="R67" s="204" t="str">
        <f>R61&amp;".500"</f>
        <v>cyan.500</v>
      </c>
      <c r="S67" s="209" t="str">
        <f t="shared" si="32"/>
        <v/>
      </c>
      <c r="T67" s="1" t="s">
        <v>412</v>
      </c>
      <c r="U67" s="1" t="s">
        <v>77</v>
      </c>
      <c r="V67" s="1" t="s">
        <v>401</v>
      </c>
      <c r="W67" s="1" t="s">
        <v>348</v>
      </c>
    </row>
    <row r="68" spans="1:23" x14ac:dyDescent="0.3">
      <c r="B68" s="204" t="str">
        <f>B61&amp;".450"</f>
        <v>indigo.450</v>
      </c>
      <c r="C68" s="230" t="str">
        <f t="shared" si="30"/>
        <v/>
      </c>
      <c r="D68" s="1" t="s">
        <v>449</v>
      </c>
      <c r="E68" s="1" t="s">
        <v>432</v>
      </c>
      <c r="F68" s="1" t="s">
        <v>371</v>
      </c>
      <c r="G68" s="1" t="s">
        <v>68</v>
      </c>
      <c r="J68" s="204" t="str">
        <f>J61&amp;".450"</f>
        <v>blue.450</v>
      </c>
      <c r="K68" s="28" t="str">
        <f t="shared" ref="K68" si="33">SetIt(K68, M68, N68, O68, "#" &amp; _xlfn.CONCAT(M68,N68,O68))</f>
        <v/>
      </c>
      <c r="L68" s="1" t="s">
        <v>384</v>
      </c>
      <c r="M68" s="1" t="s">
        <v>122</v>
      </c>
      <c r="N68" s="1" t="s">
        <v>158</v>
      </c>
      <c r="O68" s="1" t="s">
        <v>374</v>
      </c>
      <c r="R68" s="204" t="str">
        <f>R61&amp;".450"</f>
        <v>cyan.450</v>
      </c>
      <c r="S68" s="217" t="str">
        <f t="shared" si="32"/>
        <v/>
      </c>
      <c r="T68" s="1" t="s">
        <v>420</v>
      </c>
      <c r="U68" s="1" t="s">
        <v>109</v>
      </c>
      <c r="V68" s="1" t="s">
        <v>402</v>
      </c>
      <c r="W68" s="1" t="s">
        <v>374</v>
      </c>
    </row>
    <row r="69" spans="1:23" x14ac:dyDescent="0.3">
      <c r="B69" s="204" t="str">
        <f>B61&amp;".400"</f>
        <v>indigo.400</v>
      </c>
      <c r="C69" s="227" t="str">
        <f t="shared" si="30"/>
        <v/>
      </c>
      <c r="D69" s="1" t="s">
        <v>446</v>
      </c>
      <c r="E69" s="1" t="s">
        <v>173</v>
      </c>
      <c r="F69" s="1" t="s">
        <v>99</v>
      </c>
      <c r="G69" s="1" t="s">
        <v>433</v>
      </c>
      <c r="J69" s="204" t="str">
        <f>J61&amp;".400"</f>
        <v>blue.400</v>
      </c>
      <c r="K69" s="199" t="str">
        <f t="shared" si="31"/>
        <v/>
      </c>
      <c r="L69" s="1" t="s">
        <v>390</v>
      </c>
      <c r="M69" s="1" t="s">
        <v>375</v>
      </c>
      <c r="N69" s="1" t="s">
        <v>376</v>
      </c>
      <c r="O69" s="1" t="s">
        <v>65</v>
      </c>
      <c r="R69" s="204" t="str">
        <f>R61&amp;".400"</f>
        <v>cyan.400</v>
      </c>
      <c r="S69" s="214" t="str">
        <f t="shared" si="32"/>
        <v/>
      </c>
      <c r="T69" s="1" t="s">
        <v>417</v>
      </c>
      <c r="U69" s="1" t="s">
        <v>189</v>
      </c>
      <c r="V69" s="1" t="s">
        <v>403</v>
      </c>
      <c r="W69" s="1" t="s">
        <v>65</v>
      </c>
    </row>
    <row r="70" spans="1:23" x14ac:dyDescent="0.3">
      <c r="B70" s="204" t="str">
        <f>B61&amp;".300"</f>
        <v>indigo.300</v>
      </c>
      <c r="C70" s="223" t="str">
        <f t="shared" si="30"/>
        <v/>
      </c>
      <c r="D70" s="1" t="s">
        <v>442</v>
      </c>
      <c r="E70" s="1" t="s">
        <v>434</v>
      </c>
      <c r="F70" s="1" t="s">
        <v>87</v>
      </c>
      <c r="G70" s="1" t="s">
        <v>435</v>
      </c>
      <c r="J70" s="204" t="str">
        <f>J61&amp;".300"</f>
        <v>blue.300</v>
      </c>
      <c r="K70" s="200" t="str">
        <f t="shared" si="31"/>
        <v/>
      </c>
      <c r="L70" s="1" t="s">
        <v>391</v>
      </c>
      <c r="M70" s="1" t="s">
        <v>76</v>
      </c>
      <c r="N70" s="1" t="s">
        <v>101</v>
      </c>
      <c r="O70" s="1" t="s">
        <v>344</v>
      </c>
      <c r="R70" s="204" t="str">
        <f>R61&amp;".300"</f>
        <v>cyan.300</v>
      </c>
      <c r="S70" s="206" t="str">
        <f t="shared" si="32"/>
        <v/>
      </c>
      <c r="T70" s="1" t="s">
        <v>409</v>
      </c>
      <c r="U70" s="1" t="s">
        <v>404</v>
      </c>
      <c r="V70" s="1" t="s">
        <v>110</v>
      </c>
      <c r="W70" s="1" t="s">
        <v>344</v>
      </c>
    </row>
    <row r="71" spans="1:23" x14ac:dyDescent="0.3">
      <c r="B71" s="204" t="str">
        <f>B61&amp;".200"</f>
        <v>indigo.200</v>
      </c>
      <c r="C71" s="228" t="str">
        <f t="shared" si="30"/>
        <v/>
      </c>
      <c r="D71" s="1" t="s">
        <v>447</v>
      </c>
      <c r="E71" s="1" t="s">
        <v>436</v>
      </c>
      <c r="F71" s="1" t="s">
        <v>193</v>
      </c>
      <c r="G71" s="1" t="s">
        <v>158</v>
      </c>
      <c r="J71" s="204" t="str">
        <f>J61&amp;".200"</f>
        <v>blue.200</v>
      </c>
      <c r="K71" s="196" t="str">
        <f t="shared" si="31"/>
        <v/>
      </c>
      <c r="L71" s="1" t="s">
        <v>387</v>
      </c>
      <c r="M71" s="1" t="s">
        <v>377</v>
      </c>
      <c r="N71" s="1" t="s">
        <v>168</v>
      </c>
      <c r="O71" s="1" t="s">
        <v>351</v>
      </c>
      <c r="R71" s="204" t="str">
        <f>R61&amp;".200"</f>
        <v>cyan.200</v>
      </c>
      <c r="S71" s="212" t="str">
        <f t="shared" si="32"/>
        <v/>
      </c>
      <c r="T71" s="1" t="s">
        <v>415</v>
      </c>
      <c r="U71" s="1" t="s">
        <v>76</v>
      </c>
      <c r="V71" s="1" t="s">
        <v>405</v>
      </c>
      <c r="W71" s="1" t="s">
        <v>351</v>
      </c>
    </row>
    <row r="72" spans="1:23" x14ac:dyDescent="0.3">
      <c r="B72" s="204" t="str">
        <f>B61&amp;".100"</f>
        <v>indigo.100</v>
      </c>
      <c r="C72" s="219" t="str">
        <f t="shared" si="30"/>
        <v/>
      </c>
      <c r="D72" s="1" t="s">
        <v>438</v>
      </c>
      <c r="E72" s="1" t="s">
        <v>171</v>
      </c>
      <c r="F72" s="1" t="s">
        <v>408</v>
      </c>
      <c r="G72" s="1" t="s">
        <v>187</v>
      </c>
      <c r="J72" s="204" t="str">
        <f>J61&amp;".100"</f>
        <v>blue.100</v>
      </c>
      <c r="K72" s="202" t="str">
        <f t="shared" si="31"/>
        <v/>
      </c>
      <c r="L72" s="1" t="s">
        <v>393</v>
      </c>
      <c r="M72" s="1" t="s">
        <v>378</v>
      </c>
      <c r="N72" s="1" t="s">
        <v>379</v>
      </c>
      <c r="O72" s="1" t="s">
        <v>149</v>
      </c>
      <c r="R72" s="204" t="str">
        <f>R61&amp;".100"</f>
        <v>cyan.100</v>
      </c>
      <c r="S72" s="215" t="str">
        <f t="shared" si="32"/>
        <v/>
      </c>
      <c r="T72" s="1" t="s">
        <v>418</v>
      </c>
      <c r="U72" s="1" t="s">
        <v>124</v>
      </c>
      <c r="V72" s="1" t="s">
        <v>371</v>
      </c>
      <c r="W72" s="1" t="s">
        <v>149</v>
      </c>
    </row>
    <row r="73" spans="1:23" x14ac:dyDescent="0.3">
      <c r="B73" s="204" t="str">
        <f>B61&amp;".050"</f>
        <v>indigo.050</v>
      </c>
      <c r="C73" s="221" t="str">
        <f t="shared" si="30"/>
        <v/>
      </c>
      <c r="D73" s="1" t="s">
        <v>440</v>
      </c>
      <c r="E73" s="1" t="s">
        <v>109</v>
      </c>
      <c r="F73" s="1" t="s">
        <v>115</v>
      </c>
      <c r="G73" s="1" t="s">
        <v>352</v>
      </c>
      <c r="J73" s="204" t="str">
        <f>J61&amp;".050"</f>
        <v>blue.050</v>
      </c>
      <c r="K73" s="197" t="str">
        <f t="shared" si="31"/>
        <v/>
      </c>
      <c r="L73" s="1" t="s">
        <v>388</v>
      </c>
      <c r="M73" s="1" t="s">
        <v>73</v>
      </c>
      <c r="N73" s="1" t="s">
        <v>380</v>
      </c>
      <c r="O73" s="1" t="s">
        <v>120</v>
      </c>
      <c r="R73" s="204" t="str">
        <f>R61&amp;".050"</f>
        <v>cyan.050</v>
      </c>
      <c r="S73" s="211" t="str">
        <f t="shared" si="32"/>
        <v/>
      </c>
      <c r="T73" s="1" t="s">
        <v>414</v>
      </c>
      <c r="U73" s="1" t="s">
        <v>406</v>
      </c>
      <c r="V73" s="1" t="s">
        <v>93</v>
      </c>
      <c r="W73" s="1" t="s">
        <v>120</v>
      </c>
    </row>
    <row r="74" spans="1:23" x14ac:dyDescent="0.3">
      <c r="B74" s="204" t="str">
        <f>B61&amp;".010"</f>
        <v>indigo.010</v>
      </c>
      <c r="C74" s="231" t="str">
        <f t="shared" si="30"/>
        <v/>
      </c>
      <c r="D74" s="1" t="s">
        <v>450</v>
      </c>
      <c r="E74" s="1" t="s">
        <v>437</v>
      </c>
      <c r="F74" s="1" t="s">
        <v>78</v>
      </c>
      <c r="G74" s="1" t="s">
        <v>121</v>
      </c>
      <c r="J74" s="204" t="str">
        <f>J61&amp;".010"</f>
        <v>blue.010</v>
      </c>
      <c r="K74" s="193" t="str">
        <f t="shared" ref="K74" si="34">SetIt(K74, M74, N74, O74, "#" &amp; _xlfn.CONCAT(M74,N74,O74))</f>
        <v/>
      </c>
      <c r="L74" s="1" t="s">
        <v>383</v>
      </c>
      <c r="M74" s="1" t="s">
        <v>381</v>
      </c>
      <c r="N74" s="1" t="s">
        <v>382</v>
      </c>
      <c r="O74" s="1" t="s">
        <v>193</v>
      </c>
      <c r="R74" s="204" t="str">
        <f>R61&amp;".010"</f>
        <v>cyan.010</v>
      </c>
      <c r="S74" s="218" t="str">
        <f t="shared" si="32"/>
        <v/>
      </c>
      <c r="T74" s="1" t="s">
        <v>421</v>
      </c>
      <c r="U74" s="1" t="s">
        <v>407</v>
      </c>
      <c r="V74" s="1" t="s">
        <v>408</v>
      </c>
      <c r="W74" s="1" t="s">
        <v>193</v>
      </c>
    </row>
    <row r="75" spans="1:23" x14ac:dyDescent="0.3">
      <c r="E75" s="205">
        <f>HEX2DEC(E77)</f>
        <v>83</v>
      </c>
      <c r="F75" s="205">
        <f t="shared" ref="F75:G75" si="35">HEX2DEC(F77)</f>
        <v>109</v>
      </c>
      <c r="G75" s="205">
        <f t="shared" si="35"/>
        <v>254</v>
      </c>
      <c r="H75" s="205"/>
      <c r="J75" s="204"/>
      <c r="M75" s="205">
        <f>HEX2DEC(M77)</f>
        <v>68</v>
      </c>
      <c r="N75" s="205">
        <f t="shared" ref="N75:O75" si="36">HEX2DEC(N77)</f>
        <v>138</v>
      </c>
      <c r="O75" s="205">
        <f t="shared" si="36"/>
        <v>255</v>
      </c>
      <c r="P75" s="205"/>
      <c r="U75" s="205">
        <f>HEX2DEC(U77)</f>
        <v>24</v>
      </c>
      <c r="V75" s="205">
        <f t="shared" ref="V75:W75" si="37">HEX2DEC(V77)</f>
        <v>255</v>
      </c>
      <c r="W75" s="205">
        <f t="shared" si="37"/>
        <v>255</v>
      </c>
    </row>
    <row r="76" spans="1:23" x14ac:dyDescent="0.3">
      <c r="A76" s="1" t="s">
        <v>464</v>
      </c>
      <c r="B76" s="1" t="s">
        <v>461</v>
      </c>
      <c r="C76" s="233" t="str">
        <f>SetIt(C76, E76, F76, G76, "#" &amp; _xlfn.CONCAT(E76,F76,G76))</f>
        <v/>
      </c>
      <c r="D76" s="1" t="s">
        <v>456</v>
      </c>
      <c r="E76" s="1" t="s">
        <v>454</v>
      </c>
      <c r="F76" s="1" t="s">
        <v>455</v>
      </c>
      <c r="G76" s="1" t="s">
        <v>340</v>
      </c>
      <c r="I76" s="1" t="s">
        <v>464</v>
      </c>
      <c r="J76" s="204" t="s">
        <v>500</v>
      </c>
      <c r="K76" s="29" t="str">
        <f>SetIt(K76, M76, N76, O76, "#" &amp; _xlfn.CONCAT(M76,N76,O76))</f>
        <v/>
      </c>
      <c r="L76" s="1" t="s">
        <v>499</v>
      </c>
      <c r="M76" s="1" t="s">
        <v>125</v>
      </c>
      <c r="N76" s="1" t="s">
        <v>113</v>
      </c>
      <c r="O76" s="1" t="s">
        <v>22</v>
      </c>
      <c r="Q76" s="1" t="s">
        <v>464</v>
      </c>
      <c r="R76" s="1" t="s">
        <v>493</v>
      </c>
      <c r="S76" s="248" t="str">
        <f>SetIt(S76, U76, V76, W76, "#" &amp; _xlfn.CONCAT(U76,V76,W76))</f>
        <v/>
      </c>
      <c r="T76" s="1" t="s">
        <v>492</v>
      </c>
      <c r="U76" s="1" t="s">
        <v>98</v>
      </c>
      <c r="V76" s="1" t="s">
        <v>22</v>
      </c>
      <c r="W76" s="1" t="s">
        <v>22</v>
      </c>
    </row>
    <row r="77" spans="1:23" x14ac:dyDescent="0.3">
      <c r="B77" s="1" t="s">
        <v>463</v>
      </c>
      <c r="C77" s="23" t="str">
        <f>SetIt(C77, E77, F77, G77, "#" &amp; _xlfn.CONCAT(E77,F77,G77))</f>
        <v/>
      </c>
      <c r="D77" s="1" t="s">
        <v>138</v>
      </c>
      <c r="E77" s="1" t="s">
        <v>105</v>
      </c>
      <c r="F77" s="1" t="s">
        <v>106</v>
      </c>
      <c r="G77" s="1" t="s">
        <v>107</v>
      </c>
      <c r="J77" s="204" t="s">
        <v>501</v>
      </c>
      <c r="K77" s="30" t="str">
        <f>SetIt(K77, M77, N77, O77, "#" &amp; _xlfn.CONCAT(M77,N77,O77))</f>
        <v/>
      </c>
      <c r="L77" s="1" t="s">
        <v>142</v>
      </c>
      <c r="M77" s="1" t="s">
        <v>127</v>
      </c>
      <c r="N77" s="1" t="s">
        <v>59</v>
      </c>
      <c r="O77" s="1" t="s">
        <v>18</v>
      </c>
      <c r="R77" s="1" t="s">
        <v>497</v>
      </c>
      <c r="S77" s="45" t="str">
        <f>SetIt(S77, U77, V77, W77, "#" &amp; _xlfn.CONCAT(U77,V77,W77))</f>
        <v/>
      </c>
      <c r="T77" s="1" t="s">
        <v>202</v>
      </c>
      <c r="U77" s="1" t="s">
        <v>88</v>
      </c>
      <c r="V77" s="1" t="s">
        <v>18</v>
      </c>
      <c r="W77" s="1" t="s">
        <v>18</v>
      </c>
    </row>
    <row r="78" spans="1:23" x14ac:dyDescent="0.3">
      <c r="B78" s="1" t="s">
        <v>104</v>
      </c>
      <c r="C78" s="234" t="str">
        <f>SetIt(C78, E78, F78, G78, "#" &amp; _xlfn.CONCAT(E78,F78,G78))</f>
        <v/>
      </c>
      <c r="D78" s="1" t="s">
        <v>459</v>
      </c>
      <c r="E78" s="1" t="s">
        <v>457</v>
      </c>
      <c r="F78" s="1" t="s">
        <v>120</v>
      </c>
      <c r="G78" s="1" t="s">
        <v>458</v>
      </c>
      <c r="J78" s="204" t="s">
        <v>126</v>
      </c>
      <c r="K78" s="252" t="str">
        <f>SetIt(K78, M78, N78, O78, "#" &amp; _xlfn.CONCAT(M78,N78,O78))</f>
        <v/>
      </c>
      <c r="L78" s="1" t="s">
        <v>502</v>
      </c>
      <c r="M78" s="1" t="s">
        <v>436</v>
      </c>
      <c r="N78" s="1" t="s">
        <v>112</v>
      </c>
      <c r="O78" s="1" t="s">
        <v>366</v>
      </c>
      <c r="R78" s="1" t="s">
        <v>496</v>
      </c>
      <c r="S78" s="249" t="str">
        <f>SetIt(S78, U78, V78, W78, "#" &amp; _xlfn.CONCAT(U78,V78,W78))</f>
        <v/>
      </c>
      <c r="T78" s="1" t="s">
        <v>494</v>
      </c>
      <c r="U78" s="180" t="s">
        <v>478</v>
      </c>
      <c r="V78" s="180" t="s">
        <v>397</v>
      </c>
      <c r="W78" s="180" t="s">
        <v>397</v>
      </c>
    </row>
    <row r="79" spans="1:23" x14ac:dyDescent="0.3">
      <c r="B79" s="1" t="s">
        <v>462</v>
      </c>
      <c r="C79" s="235" t="str">
        <f>SetIt(C79, E79, F79, G79, "#" &amp; _xlfn.CONCAT(E79,F79,G79))</f>
        <v/>
      </c>
      <c r="D79" s="1" t="s">
        <v>460</v>
      </c>
      <c r="E79" s="1" t="s">
        <v>169</v>
      </c>
      <c r="F79" s="1" t="s">
        <v>180</v>
      </c>
      <c r="G79" s="1" t="s">
        <v>368</v>
      </c>
      <c r="J79" s="204" t="s">
        <v>504</v>
      </c>
      <c r="K79" s="253" t="str">
        <f>SetIt(K79, M79, N79, O79, "#" &amp; _xlfn.CONCAT(M79,N79,O79))</f>
        <v/>
      </c>
      <c r="L79" s="1" t="s">
        <v>503</v>
      </c>
      <c r="M79" s="1" t="s">
        <v>5</v>
      </c>
      <c r="N79" s="1" t="s">
        <v>185</v>
      </c>
      <c r="O79" s="1" t="s">
        <v>397</v>
      </c>
      <c r="R79" s="1" t="s">
        <v>150</v>
      </c>
      <c r="S79" s="250" t="str">
        <f>SetIt(S79, U79, V79, W79, "#" &amp; _xlfn.CONCAT(U79,V79,W79))</f>
        <v/>
      </c>
      <c r="T79" s="1" t="s">
        <v>495</v>
      </c>
      <c r="U79" s="1" t="s">
        <v>406</v>
      </c>
      <c r="V79" s="1" t="s">
        <v>476</v>
      </c>
      <c r="W79" s="1" t="s">
        <v>476</v>
      </c>
    </row>
    <row r="80" spans="1:23" x14ac:dyDescent="0.3">
      <c r="U80" s="205">
        <f>HEX2DEC(U81)</f>
        <v>87</v>
      </c>
      <c r="V80" s="205">
        <f>HEX2DEC(V81)</f>
        <v>174</v>
      </c>
      <c r="W80" s="205">
        <f>HEX2DEC(W81)</f>
        <v>185</v>
      </c>
    </row>
    <row r="81" spans="1:23" x14ac:dyDescent="0.3">
      <c r="Q81" s="1" t="s">
        <v>464</v>
      </c>
      <c r="R81" s="1" t="s">
        <v>151</v>
      </c>
      <c r="S81" s="251" t="str">
        <f>SetIt(S81, U81, V81, W81, "#" &amp; _xlfn.CONCAT(U81,V81,W81))</f>
        <v/>
      </c>
      <c r="T81" s="1" t="s">
        <v>498</v>
      </c>
      <c r="U81" s="1" t="s">
        <v>176</v>
      </c>
      <c r="V81" s="1" t="s">
        <v>476</v>
      </c>
      <c r="W81" s="1" t="s">
        <v>372</v>
      </c>
    </row>
    <row r="83" spans="1:23" x14ac:dyDescent="0.3">
      <c r="A83" s="1" t="s">
        <v>464</v>
      </c>
      <c r="B83" s="1" t="s">
        <v>13</v>
      </c>
      <c r="E83" s="205">
        <f>HEX2DEC(E90)</f>
        <v>62</v>
      </c>
      <c r="F83" s="205">
        <f t="shared" ref="F83:G83" si="38">HEX2DEC(F90)</f>
        <v>62</v>
      </c>
      <c r="G83" s="205">
        <f t="shared" si="38"/>
        <v>255</v>
      </c>
      <c r="I83" s="1" t="s">
        <v>464</v>
      </c>
      <c r="J83" s="1" t="s">
        <v>465</v>
      </c>
      <c r="M83" s="205">
        <f>HEX2DEC(M90)</f>
        <v>3</v>
      </c>
      <c r="N83" s="205">
        <f t="shared" ref="N83:O83" si="39">HEX2DEC(N90)</f>
        <v>169</v>
      </c>
      <c r="O83" s="205">
        <f t="shared" si="39"/>
        <v>244</v>
      </c>
      <c r="Q83" s="1" t="s">
        <v>464</v>
      </c>
      <c r="R83" s="1" t="s">
        <v>520</v>
      </c>
      <c r="U83" s="205">
        <f>HEX2DEC(U90)</f>
        <v>58</v>
      </c>
      <c r="V83" s="205">
        <f t="shared" ref="V83:W83" si="40">HEX2DEC(V90)</f>
        <v>186</v>
      </c>
      <c r="W83" s="205">
        <f t="shared" si="40"/>
        <v>174</v>
      </c>
    </row>
    <row r="84" spans="1:23" x14ac:dyDescent="0.3">
      <c r="B84" s="204" t="str">
        <f>B83&amp;".950"</f>
        <v>true.blue.950</v>
      </c>
      <c r="C84" s="237" t="str">
        <f t="shared" ref="C84:C96" si="41">SetIt(C84, E84, F84, G84, "#" &amp; _xlfn.CONCAT(E84,F84,G84))</f>
        <v/>
      </c>
      <c r="D84" s="1" t="s">
        <v>481</v>
      </c>
      <c r="E84" s="1" t="s">
        <v>343</v>
      </c>
      <c r="F84" s="1" t="s">
        <v>343</v>
      </c>
      <c r="G84" s="1" t="s">
        <v>22</v>
      </c>
      <c r="J84" s="204" t="str">
        <f>J83&amp;".950"</f>
        <v>light.blue.950</v>
      </c>
      <c r="K84" s="182" t="str">
        <f t="shared" ref="K84:K96" si="42">SetIt(K84, M84, N84, O84, "#" &amp; _xlfn.CONCAT(M84,N84,O84))</f>
        <v/>
      </c>
      <c r="L84" s="1" t="s">
        <v>355</v>
      </c>
      <c r="M84" s="1" t="s">
        <v>337</v>
      </c>
      <c r="N84" s="1" t="s">
        <v>85</v>
      </c>
      <c r="O84" s="1" t="s">
        <v>22</v>
      </c>
      <c r="R84" s="1" t="s">
        <v>518</v>
      </c>
      <c r="S84" s="260" t="str">
        <f t="shared" ref="S84:S96" si="43">SetIt(S84, U84, V84, W84, "#" &amp; _xlfn.CONCAT(U84,V84,W84))</f>
        <v/>
      </c>
      <c r="T84" s="1" t="s">
        <v>537</v>
      </c>
      <c r="U84" s="1" t="s">
        <v>343</v>
      </c>
      <c r="V84" s="1" t="s">
        <v>85</v>
      </c>
      <c r="W84" s="1" t="s">
        <v>85</v>
      </c>
    </row>
    <row r="85" spans="1:23" x14ac:dyDescent="0.3">
      <c r="B85" s="204" t="str">
        <f>B83&amp;".900"</f>
        <v>true.blue.900</v>
      </c>
      <c r="C85" s="240" t="str">
        <f t="shared" si="41"/>
        <v/>
      </c>
      <c r="D85" s="1" t="s">
        <v>484</v>
      </c>
      <c r="E85" s="1" t="s">
        <v>472</v>
      </c>
      <c r="F85" s="1" t="s">
        <v>472</v>
      </c>
      <c r="G85" s="1" t="s">
        <v>22</v>
      </c>
      <c r="J85" s="204" t="str">
        <f>J83&amp;".900"</f>
        <v>light.blue.900</v>
      </c>
      <c r="K85" s="185" t="str">
        <f t="shared" si="42"/>
        <v/>
      </c>
      <c r="L85" s="1" t="s">
        <v>358</v>
      </c>
      <c r="M85" s="1" t="s">
        <v>338</v>
      </c>
      <c r="N85" s="1" t="s">
        <v>339</v>
      </c>
      <c r="O85" s="1" t="s">
        <v>340</v>
      </c>
      <c r="R85" s="1" t="s">
        <v>152</v>
      </c>
      <c r="S85" s="262" t="str">
        <f t="shared" si="43"/>
        <v/>
      </c>
      <c r="T85" s="1" t="s">
        <v>539</v>
      </c>
      <c r="U85" s="1" t="s">
        <v>522</v>
      </c>
      <c r="V85" s="1" t="s">
        <v>337</v>
      </c>
      <c r="W85" s="1" t="s">
        <v>523</v>
      </c>
    </row>
    <row r="86" spans="1:23" x14ac:dyDescent="0.3">
      <c r="B86" s="204" t="str">
        <f>B83&amp;".800"</f>
        <v>true.blue.800</v>
      </c>
      <c r="C86" s="243" t="str">
        <f t="shared" si="41"/>
        <v/>
      </c>
      <c r="D86" s="1" t="s">
        <v>487</v>
      </c>
      <c r="E86" s="1" t="s">
        <v>473</v>
      </c>
      <c r="F86" s="1" t="s">
        <v>473</v>
      </c>
      <c r="G86" s="1" t="s">
        <v>22</v>
      </c>
      <c r="J86" s="204" t="str">
        <f>J83&amp;".800"</f>
        <v>light.blue.800</v>
      </c>
      <c r="K86" s="188" t="str">
        <f t="shared" si="42"/>
        <v/>
      </c>
      <c r="L86" s="1" t="s">
        <v>361</v>
      </c>
      <c r="M86" s="1" t="s">
        <v>341</v>
      </c>
      <c r="N86" s="1" t="s">
        <v>342</v>
      </c>
      <c r="O86" s="1" t="s">
        <v>82</v>
      </c>
      <c r="R86" s="1" t="s">
        <v>153</v>
      </c>
      <c r="S86" s="267" t="str">
        <f t="shared" si="43"/>
        <v/>
      </c>
      <c r="T86" s="1" t="s">
        <v>544</v>
      </c>
      <c r="U86" s="1" t="s">
        <v>524</v>
      </c>
      <c r="V86" s="1" t="s">
        <v>429</v>
      </c>
      <c r="W86" s="1" t="s">
        <v>522</v>
      </c>
    </row>
    <row r="87" spans="1:23" x14ac:dyDescent="0.3">
      <c r="B87" s="204" t="str">
        <f>B83&amp;".700"</f>
        <v>true.blue.700</v>
      </c>
      <c r="C87" s="242" t="str">
        <f t="shared" si="41"/>
        <v/>
      </c>
      <c r="D87" s="1" t="s">
        <v>486</v>
      </c>
      <c r="E87" s="1" t="s">
        <v>474</v>
      </c>
      <c r="F87" s="1" t="s">
        <v>474</v>
      </c>
      <c r="G87" s="1" t="s">
        <v>22</v>
      </c>
      <c r="J87" s="204" t="str">
        <f>J83&amp;".700"</f>
        <v>light.blue.700</v>
      </c>
      <c r="K87" s="184" t="str">
        <f t="shared" si="42"/>
        <v/>
      </c>
      <c r="L87" s="1" t="s">
        <v>357</v>
      </c>
      <c r="M87" s="1" t="s">
        <v>188</v>
      </c>
      <c r="N87" s="1" t="s">
        <v>66</v>
      </c>
      <c r="O87" s="1" t="s">
        <v>343</v>
      </c>
      <c r="R87" s="1" t="s">
        <v>154</v>
      </c>
      <c r="S87" s="265" t="str">
        <f t="shared" si="43"/>
        <v/>
      </c>
      <c r="T87" s="1" t="s">
        <v>542</v>
      </c>
      <c r="U87" s="1" t="s">
        <v>525</v>
      </c>
      <c r="V87" s="1" t="s">
        <v>526</v>
      </c>
      <c r="W87" s="1" t="s">
        <v>68</v>
      </c>
    </row>
    <row r="88" spans="1:23" x14ac:dyDescent="0.3">
      <c r="B88" s="204" t="str">
        <f>B83&amp;".600"</f>
        <v>true.blue.600</v>
      </c>
      <c r="C88" s="238" t="str">
        <f t="shared" si="41"/>
        <v/>
      </c>
      <c r="D88" s="1" t="s">
        <v>482</v>
      </c>
      <c r="E88" s="1" t="s">
        <v>475</v>
      </c>
      <c r="F88" s="1" t="s">
        <v>475</v>
      </c>
      <c r="G88" s="1" t="s">
        <v>22</v>
      </c>
      <c r="J88" s="204" t="str">
        <f>J83&amp;".600"</f>
        <v>light.blue.600</v>
      </c>
      <c r="K88" s="183" t="str">
        <f t="shared" si="42"/>
        <v/>
      </c>
      <c r="L88" s="1" t="s">
        <v>356</v>
      </c>
      <c r="M88" s="1" t="s">
        <v>87</v>
      </c>
      <c r="N88" s="1" t="s">
        <v>344</v>
      </c>
      <c r="O88" s="1" t="s">
        <v>339</v>
      </c>
      <c r="R88" s="1" t="s">
        <v>155</v>
      </c>
      <c r="S88" s="266" t="str">
        <f t="shared" si="43"/>
        <v/>
      </c>
      <c r="T88" s="1" t="s">
        <v>543</v>
      </c>
      <c r="U88" s="1" t="s">
        <v>527</v>
      </c>
      <c r="V88" s="1" t="s">
        <v>528</v>
      </c>
      <c r="W88" s="1" t="s">
        <v>529</v>
      </c>
    </row>
    <row r="89" spans="1:23" x14ac:dyDescent="0.3">
      <c r="B89" s="204" t="str">
        <f>B83&amp;".500"</f>
        <v>true.blue.500</v>
      </c>
      <c r="C89" s="244" t="str">
        <f t="shared" si="41"/>
        <v/>
      </c>
      <c r="D89" s="1" t="s">
        <v>488</v>
      </c>
      <c r="E89" s="1" t="s">
        <v>173</v>
      </c>
      <c r="F89" s="1" t="s">
        <v>173</v>
      </c>
      <c r="G89" s="1" t="s">
        <v>22</v>
      </c>
      <c r="J89" s="204" t="str">
        <f>J83&amp;".500"</f>
        <v>light.blue.500</v>
      </c>
      <c r="K89" s="190" t="str">
        <f t="shared" si="42"/>
        <v/>
      </c>
      <c r="L89" s="1" t="s">
        <v>363</v>
      </c>
      <c r="M89" s="1" t="s">
        <v>122</v>
      </c>
      <c r="N89" s="1" t="s">
        <v>345</v>
      </c>
      <c r="O89" s="1" t="s">
        <v>346</v>
      </c>
      <c r="R89" s="1" t="s">
        <v>156</v>
      </c>
      <c r="S89" s="264" t="str">
        <f t="shared" si="43"/>
        <v/>
      </c>
      <c r="T89" s="1" t="s">
        <v>541</v>
      </c>
      <c r="U89" s="1" t="s">
        <v>379</v>
      </c>
      <c r="V89" s="1" t="s">
        <v>530</v>
      </c>
      <c r="W89" s="1" t="s">
        <v>531</v>
      </c>
    </row>
    <row r="90" spans="1:23" x14ac:dyDescent="0.3">
      <c r="B90" s="204" t="str">
        <f>B83&amp;".450"</f>
        <v>true.blue.450</v>
      </c>
      <c r="C90" s="24" t="str">
        <f t="shared" si="41"/>
        <v/>
      </c>
      <c r="D90" s="1" t="s">
        <v>479</v>
      </c>
      <c r="E90" s="1" t="s">
        <v>380</v>
      </c>
      <c r="F90" s="1" t="s">
        <v>380</v>
      </c>
      <c r="G90" s="1" t="s">
        <v>22</v>
      </c>
      <c r="J90" s="204" t="str">
        <f>J83&amp;".450"</f>
        <v>light.blue.450</v>
      </c>
      <c r="K90" s="31" t="str">
        <f t="shared" si="42"/>
        <v/>
      </c>
      <c r="L90" s="1" t="s">
        <v>353</v>
      </c>
      <c r="M90" s="1" t="s">
        <v>130</v>
      </c>
      <c r="N90" s="1" t="s">
        <v>347</v>
      </c>
      <c r="O90" s="1" t="s">
        <v>348</v>
      </c>
      <c r="R90" s="1" t="s">
        <v>521</v>
      </c>
      <c r="S90" s="271" t="str">
        <f t="shared" si="43"/>
        <v/>
      </c>
      <c r="T90" s="1" t="s">
        <v>548</v>
      </c>
      <c r="U90" s="1" t="s">
        <v>408</v>
      </c>
      <c r="V90" s="1" t="s">
        <v>532</v>
      </c>
      <c r="W90" s="1" t="s">
        <v>476</v>
      </c>
    </row>
    <row r="91" spans="1:23" x14ac:dyDescent="0.3">
      <c r="B91" s="204" t="str">
        <f>B83&amp;".400"</f>
        <v>true.blue.400</v>
      </c>
      <c r="C91" s="246" t="str">
        <f t="shared" si="41"/>
        <v/>
      </c>
      <c r="D91" s="1" t="s">
        <v>490</v>
      </c>
      <c r="E91" s="1" t="s">
        <v>7</v>
      </c>
      <c r="F91" s="1" t="s">
        <v>7</v>
      </c>
      <c r="G91" s="1" t="s">
        <v>366</v>
      </c>
      <c r="J91" s="204" t="str">
        <f>J83&amp;".400"</f>
        <v>light.blue.400</v>
      </c>
      <c r="K91" s="181" t="str">
        <f t="shared" si="42"/>
        <v/>
      </c>
      <c r="L91" s="1" t="s">
        <v>354</v>
      </c>
      <c r="M91" s="1" t="s">
        <v>130</v>
      </c>
      <c r="N91" s="1" t="s">
        <v>349</v>
      </c>
      <c r="O91" s="1" t="s">
        <v>65</v>
      </c>
      <c r="R91" s="1" t="s">
        <v>157</v>
      </c>
      <c r="S91" s="269" t="str">
        <f t="shared" si="43"/>
        <v/>
      </c>
      <c r="T91" s="1" t="s">
        <v>546</v>
      </c>
      <c r="U91" s="1" t="s">
        <v>3</v>
      </c>
      <c r="V91" s="1" t="s">
        <v>525</v>
      </c>
      <c r="W91" s="1" t="s">
        <v>110</v>
      </c>
    </row>
    <row r="92" spans="1:23" x14ac:dyDescent="0.3">
      <c r="B92" s="204" t="str">
        <f>B83&amp;".300"</f>
        <v>true.blue.300</v>
      </c>
      <c r="C92" s="239" t="str">
        <f t="shared" si="41"/>
        <v/>
      </c>
      <c r="D92" s="1" t="s">
        <v>483</v>
      </c>
      <c r="E92" s="1" t="s">
        <v>171</v>
      </c>
      <c r="F92" s="1" t="s">
        <v>171</v>
      </c>
      <c r="G92" s="1" t="s">
        <v>397</v>
      </c>
      <c r="J92" s="204" t="str">
        <f>J83&amp;".300"</f>
        <v>light.blue.300</v>
      </c>
      <c r="K92" s="186" t="str">
        <f t="shared" si="42"/>
        <v/>
      </c>
      <c r="L92" s="1" t="s">
        <v>359</v>
      </c>
      <c r="M92" s="1" t="s">
        <v>130</v>
      </c>
      <c r="N92" s="1" t="s">
        <v>80</v>
      </c>
      <c r="O92" s="1" t="s">
        <v>344</v>
      </c>
      <c r="R92" s="1" t="s">
        <v>159</v>
      </c>
      <c r="S92" s="268" t="str">
        <f t="shared" si="43"/>
        <v/>
      </c>
      <c r="T92" s="1" t="s">
        <v>545</v>
      </c>
      <c r="U92" s="1" t="s">
        <v>533</v>
      </c>
      <c r="V92" s="1" t="s">
        <v>158</v>
      </c>
      <c r="W92" s="1" t="s">
        <v>534</v>
      </c>
    </row>
    <row r="93" spans="1:23" x14ac:dyDescent="0.3">
      <c r="B93" s="204" t="str">
        <f>B83&amp;".200"</f>
        <v>true.blue.200</v>
      </c>
      <c r="C93" s="247" t="str">
        <f t="shared" si="41"/>
        <v/>
      </c>
      <c r="D93" s="1" t="s">
        <v>491</v>
      </c>
      <c r="E93" s="1" t="s">
        <v>74</v>
      </c>
      <c r="F93" s="1" t="s">
        <v>74</v>
      </c>
      <c r="G93" s="1" t="s">
        <v>476</v>
      </c>
      <c r="J93" s="204" t="str">
        <f>J83&amp;".200"</f>
        <v>light.blue.200</v>
      </c>
      <c r="K93" s="187" t="str">
        <f t="shared" si="42"/>
        <v/>
      </c>
      <c r="L93" s="1" t="s">
        <v>360</v>
      </c>
      <c r="M93" s="1" t="s">
        <v>130</v>
      </c>
      <c r="N93" s="1" t="s">
        <v>350</v>
      </c>
      <c r="O93" s="1" t="s">
        <v>351</v>
      </c>
      <c r="R93" s="1" t="s">
        <v>161</v>
      </c>
      <c r="S93" s="263" t="str">
        <f t="shared" si="43"/>
        <v/>
      </c>
      <c r="T93" s="1" t="s">
        <v>540</v>
      </c>
      <c r="U93" s="1" t="s">
        <v>194</v>
      </c>
      <c r="V93" s="1" t="s">
        <v>475</v>
      </c>
      <c r="W93" s="1" t="s">
        <v>172</v>
      </c>
    </row>
    <row r="94" spans="1:23" x14ac:dyDescent="0.3">
      <c r="B94" s="204" t="str">
        <f>B83&amp;".100"</f>
        <v>true.blue.100</v>
      </c>
      <c r="C94" s="241" t="str">
        <f t="shared" si="41"/>
        <v/>
      </c>
      <c r="D94" s="1" t="s">
        <v>485</v>
      </c>
      <c r="E94" s="1" t="s">
        <v>186</v>
      </c>
      <c r="F94" s="1" t="s">
        <v>186</v>
      </c>
      <c r="G94" s="1" t="s">
        <v>116</v>
      </c>
      <c r="J94" s="204" t="str">
        <f>J83&amp;".100"</f>
        <v>light.blue.100</v>
      </c>
      <c r="K94" s="191" t="str">
        <f t="shared" si="42"/>
        <v/>
      </c>
      <c r="L94" s="1" t="s">
        <v>364</v>
      </c>
      <c r="M94" s="1" t="s">
        <v>131</v>
      </c>
      <c r="N94" s="1" t="s">
        <v>352</v>
      </c>
      <c r="O94" s="1" t="s">
        <v>149</v>
      </c>
      <c r="R94" s="1" t="s">
        <v>162</v>
      </c>
      <c r="S94" s="261" t="str">
        <f t="shared" si="43"/>
        <v/>
      </c>
      <c r="T94" s="1" t="s">
        <v>538</v>
      </c>
      <c r="U94" s="1" t="s">
        <v>404</v>
      </c>
      <c r="V94" s="1" t="s">
        <v>98</v>
      </c>
      <c r="W94" s="1" t="s">
        <v>535</v>
      </c>
    </row>
    <row r="95" spans="1:23" x14ac:dyDescent="0.3">
      <c r="B95" s="204" t="str">
        <f>B83&amp;".050"</f>
        <v>true.blue.050</v>
      </c>
      <c r="C95" s="245" t="str">
        <f t="shared" si="41"/>
        <v/>
      </c>
      <c r="D95" s="1" t="s">
        <v>489</v>
      </c>
      <c r="E95" s="1" t="s">
        <v>76</v>
      </c>
      <c r="F95" s="1" t="s">
        <v>76</v>
      </c>
      <c r="G95" s="1" t="s">
        <v>477</v>
      </c>
      <c r="J95" s="204" t="str">
        <f>J83&amp;".050"</f>
        <v>light.blue.050</v>
      </c>
      <c r="K95" s="189" t="str">
        <f t="shared" si="42"/>
        <v/>
      </c>
      <c r="L95" s="1" t="s">
        <v>362</v>
      </c>
      <c r="M95" s="1" t="s">
        <v>131</v>
      </c>
      <c r="N95" s="1" t="s">
        <v>94</v>
      </c>
      <c r="O95" s="1" t="s">
        <v>120</v>
      </c>
      <c r="R95" s="1" t="s">
        <v>164</v>
      </c>
      <c r="S95" s="270" t="str">
        <f t="shared" si="43"/>
        <v/>
      </c>
      <c r="T95" s="1" t="s">
        <v>547</v>
      </c>
      <c r="U95" s="1" t="s">
        <v>88</v>
      </c>
      <c r="V95" s="1" t="s">
        <v>536</v>
      </c>
      <c r="W95" s="1" t="s">
        <v>170</v>
      </c>
    </row>
    <row r="96" spans="1:23" x14ac:dyDescent="0.3">
      <c r="B96" s="204" t="str">
        <f>B83&amp;".010"</f>
        <v>true.blue.010</v>
      </c>
      <c r="C96" s="236" t="str">
        <f t="shared" si="41"/>
        <v/>
      </c>
      <c r="D96" s="1" t="s">
        <v>480</v>
      </c>
      <c r="E96" s="1" t="s">
        <v>478</v>
      </c>
      <c r="F96" s="1" t="s">
        <v>478</v>
      </c>
      <c r="G96" s="1" t="s">
        <v>457</v>
      </c>
      <c r="J96" s="204" t="str">
        <f>J83&amp;".010"</f>
        <v>light.blue.010</v>
      </c>
      <c r="K96" s="192" t="str">
        <f t="shared" si="42"/>
        <v/>
      </c>
      <c r="L96" s="1" t="s">
        <v>365</v>
      </c>
      <c r="M96" s="1" t="s">
        <v>132</v>
      </c>
      <c r="N96" s="1" t="s">
        <v>171</v>
      </c>
      <c r="O96" s="1" t="s">
        <v>193</v>
      </c>
      <c r="R96" s="1" t="s">
        <v>519</v>
      </c>
      <c r="S96" s="272" t="str">
        <f t="shared" si="43"/>
        <v/>
      </c>
      <c r="T96" s="1" t="s">
        <v>549</v>
      </c>
      <c r="U96" s="1" t="s">
        <v>191</v>
      </c>
      <c r="V96" s="1" t="s">
        <v>5</v>
      </c>
      <c r="W96" s="1" t="s">
        <v>1</v>
      </c>
    </row>
    <row r="97" spans="1:23" x14ac:dyDescent="0.3">
      <c r="E97" s="205">
        <f>HEX2DEC(E99)</f>
        <v>30</v>
      </c>
      <c r="F97" s="205">
        <f t="shared" ref="F97:G97" si="44">HEX2DEC(F99)</f>
        <v>147</v>
      </c>
      <c r="G97" s="205">
        <f t="shared" si="44"/>
        <v>201</v>
      </c>
      <c r="M97" s="205">
        <f>HEX2DEC(M99)</f>
        <v>64</v>
      </c>
      <c r="N97" s="205">
        <f>HEX2DEC(N99)</f>
        <v>196</v>
      </c>
      <c r="O97" s="205">
        <f>HEX2DEC(O99)</f>
        <v>255</v>
      </c>
      <c r="U97" s="205">
        <f>HEX2DEC(U99)</f>
        <v>100</v>
      </c>
      <c r="V97" s="205">
        <f>HEX2DEC(V99)</f>
        <v>255</v>
      </c>
      <c r="W97" s="205">
        <f>HEX2DEC(W99)</f>
        <v>218</v>
      </c>
    </row>
    <row r="98" spans="1:23" x14ac:dyDescent="0.3">
      <c r="A98" s="1" t="s">
        <v>464</v>
      </c>
      <c r="B98" s="1" t="s">
        <v>108</v>
      </c>
      <c r="C98" s="258" t="str">
        <f t="shared" ref="C98" si="45">SetIt(C98, E98, F98, G98, "#" &amp; _xlfn.CONCAT(E98,F98,G98))</f>
        <v/>
      </c>
      <c r="D98" s="1" t="s">
        <v>514</v>
      </c>
      <c r="E98" s="1" t="s">
        <v>7</v>
      </c>
      <c r="F98" s="1" t="s">
        <v>110</v>
      </c>
      <c r="G98" s="1" t="s">
        <v>397</v>
      </c>
      <c r="I98" s="1" t="s">
        <v>464</v>
      </c>
      <c r="J98" s="1" t="s">
        <v>507</v>
      </c>
      <c r="K98" s="254" t="str">
        <f>SetIt(K98, M98, N98, O98, "#" &amp; _xlfn.CONCAT(M98,N98,O98))</f>
        <v/>
      </c>
      <c r="L98" s="1" t="s">
        <v>506</v>
      </c>
      <c r="M98" s="1" t="s">
        <v>176</v>
      </c>
      <c r="N98" s="1" t="s">
        <v>505</v>
      </c>
      <c r="O98" s="1" t="s">
        <v>22</v>
      </c>
      <c r="Q98" s="1" t="s">
        <v>464</v>
      </c>
      <c r="R98" s="1" t="s">
        <v>165</v>
      </c>
      <c r="S98" s="285" t="str">
        <f>SetIt(S98, U98, V98, W98, "#" &amp; _xlfn.CONCAT(U98,V98,W98))</f>
        <v/>
      </c>
      <c r="T98" s="1" t="s">
        <v>570</v>
      </c>
      <c r="U98" s="1" t="s">
        <v>552</v>
      </c>
      <c r="V98" s="1" t="s">
        <v>22</v>
      </c>
      <c r="W98" s="1" t="s">
        <v>569</v>
      </c>
    </row>
    <row r="99" spans="1:23" x14ac:dyDescent="0.3">
      <c r="B99" s="1" t="s">
        <v>513</v>
      </c>
      <c r="C99" s="48" t="str">
        <f>SetIt(C99, E99, F99, G99, "#" &amp; _xlfn.CONCAT(E99,F99,G99))</f>
        <v/>
      </c>
      <c r="D99" s="1" t="s">
        <v>204</v>
      </c>
      <c r="E99" s="1" t="s">
        <v>79</v>
      </c>
      <c r="F99" s="1" t="s">
        <v>188</v>
      </c>
      <c r="G99" s="1" t="s">
        <v>167</v>
      </c>
      <c r="J99" s="1" t="s">
        <v>469</v>
      </c>
      <c r="K99" s="32" t="str">
        <f t="shared" ref="K99:K101" si="46">SetIt(K99, M99, N99, O99, "#" &amp; _xlfn.CONCAT(M99,N99,O99))</f>
        <v/>
      </c>
      <c r="L99" s="1" t="s">
        <v>145</v>
      </c>
      <c r="M99" s="1" t="s">
        <v>77</v>
      </c>
      <c r="N99" s="1" t="s">
        <v>90</v>
      </c>
      <c r="O99" s="1" t="s">
        <v>18</v>
      </c>
      <c r="R99" s="1" t="s">
        <v>568</v>
      </c>
      <c r="S99" s="34" t="str">
        <f>SetIt(S99, U99, V99, W99, "#" &amp; _xlfn.CONCAT(U99,V99,W99))</f>
        <v/>
      </c>
      <c r="T99" s="1" t="s">
        <v>196</v>
      </c>
      <c r="U99" s="1" t="s">
        <v>120</v>
      </c>
      <c r="V99" s="1" t="s">
        <v>18</v>
      </c>
      <c r="W99" s="1" t="s">
        <v>100</v>
      </c>
    </row>
    <row r="100" spans="1:23" x14ac:dyDescent="0.3">
      <c r="B100" s="1" t="s">
        <v>111</v>
      </c>
      <c r="C100" s="259" t="str">
        <f>SetIt(C100, E100, F100, G100, "#" &amp; _xlfn.CONCAT(E100,F100,G100))</f>
        <v/>
      </c>
      <c r="D100" s="1" t="s">
        <v>517</v>
      </c>
      <c r="E100" s="1" t="s">
        <v>515</v>
      </c>
      <c r="F100" s="1" t="s">
        <v>516</v>
      </c>
      <c r="G100" s="1" t="s">
        <v>372</v>
      </c>
      <c r="J100" s="1" t="s">
        <v>134</v>
      </c>
      <c r="K100" s="255" t="str">
        <f t="shared" si="46"/>
        <v/>
      </c>
      <c r="L100" s="1" t="s">
        <v>509</v>
      </c>
      <c r="M100" s="1" t="s">
        <v>508</v>
      </c>
      <c r="N100" s="1" t="s">
        <v>468</v>
      </c>
      <c r="O100" s="1" t="s">
        <v>366</v>
      </c>
      <c r="R100" s="1" t="s">
        <v>166</v>
      </c>
      <c r="S100" s="287" t="str">
        <f>SetIt(S100, U100, V100, W100, "#" &amp; _xlfn.CONCAT(U100,V100,W100))</f>
        <v/>
      </c>
      <c r="T100" s="1" t="s">
        <v>572</v>
      </c>
      <c r="U100" s="1" t="s">
        <v>432</v>
      </c>
      <c r="V100" s="1" t="s">
        <v>366</v>
      </c>
      <c r="W100" s="1" t="s">
        <v>529</v>
      </c>
    </row>
    <row r="101" spans="1:23" x14ac:dyDescent="0.3">
      <c r="B101" s="1" t="s">
        <v>114</v>
      </c>
      <c r="C101" s="25" t="str">
        <f>SetIt(C101, E101, F101, G101, "#" &amp; _xlfn.CONCAT(E101,F101,G101))</f>
        <v/>
      </c>
      <c r="D101" s="1" t="s">
        <v>141</v>
      </c>
      <c r="E101" s="1" t="s">
        <v>115</v>
      </c>
      <c r="F101" s="1">
        <v>62</v>
      </c>
      <c r="G101" s="1" t="s">
        <v>116</v>
      </c>
      <c r="J101" s="1" t="s">
        <v>470</v>
      </c>
      <c r="K101" s="256" t="str">
        <f t="shared" si="46"/>
        <v/>
      </c>
      <c r="L101" s="1" t="s">
        <v>510</v>
      </c>
      <c r="M101" s="1" t="s">
        <v>2</v>
      </c>
      <c r="N101" s="1" t="s">
        <v>455</v>
      </c>
      <c r="O101" s="1" t="s">
        <v>397</v>
      </c>
      <c r="R101" s="1" t="s">
        <v>573</v>
      </c>
      <c r="S101" s="286" t="str">
        <f>SetIt(S101, U101, V101, W101, "#" &amp; _xlfn.CONCAT(U101,V101,W101))</f>
        <v/>
      </c>
      <c r="T101" s="1" t="s">
        <v>571</v>
      </c>
      <c r="U101" s="1" t="s">
        <v>93</v>
      </c>
      <c r="V101" s="1" t="s">
        <v>397</v>
      </c>
      <c r="W101" s="1" t="s">
        <v>113</v>
      </c>
    </row>
    <row r="102" spans="1:23" x14ac:dyDescent="0.3">
      <c r="B102" s="1" t="s">
        <v>117</v>
      </c>
      <c r="C102" s="26" t="str">
        <f>SetIt(C102, E102, F102, G102, "#" &amp; _xlfn.CONCAT(E102,F102,G102))</f>
        <v/>
      </c>
      <c r="D102" s="1" t="s">
        <v>144</v>
      </c>
      <c r="E102" s="1" t="s">
        <v>76</v>
      </c>
      <c r="F102" s="1">
        <v>42</v>
      </c>
      <c r="G102" s="1">
        <v>60</v>
      </c>
      <c r="J102" s="1" t="s">
        <v>135</v>
      </c>
      <c r="K102" s="257" t="str">
        <f>SetIt(K102, M102, N102, O102, "#" &amp; _xlfn.CONCAT(M102,N102,O102))</f>
        <v/>
      </c>
      <c r="L102" s="1" t="s">
        <v>512</v>
      </c>
      <c r="M102" s="1" t="s">
        <v>115</v>
      </c>
      <c r="N102" s="1" t="s">
        <v>511</v>
      </c>
      <c r="O102" s="1" t="s">
        <v>476</v>
      </c>
    </row>
    <row r="103" spans="1:23" x14ac:dyDescent="0.3">
      <c r="B103" s="1" t="s">
        <v>118</v>
      </c>
      <c r="C103" s="27" t="str">
        <f>SetIt(C103, E103, F103, G103, "#" &amp; _xlfn.CONCAT(E103,F103,G103))</f>
        <v/>
      </c>
      <c r="D103" s="1" t="s">
        <v>146</v>
      </c>
      <c r="E103" s="1" t="s">
        <v>119</v>
      </c>
      <c r="F103" s="1">
        <v>26</v>
      </c>
      <c r="G103" s="1">
        <v>37</v>
      </c>
    </row>
    <row r="104" spans="1:23" x14ac:dyDescent="0.3">
      <c r="P104" s="113"/>
    </row>
    <row r="105" spans="1:23" x14ac:dyDescent="0.3">
      <c r="B105" s="1" t="s">
        <v>574</v>
      </c>
      <c r="E105" s="205">
        <f>HEX2DEC(E112)</f>
        <v>76</v>
      </c>
      <c r="F105" s="205">
        <f t="shared" ref="F105:G105" si="47">HEX2DEC(F112)</f>
        <v>200</v>
      </c>
      <c r="G105" s="205">
        <f t="shared" si="47"/>
        <v>80</v>
      </c>
      <c r="I105" s="1" t="s">
        <v>464</v>
      </c>
      <c r="J105" s="1" t="s">
        <v>601</v>
      </c>
      <c r="M105" s="205">
        <f>HEX2DEC(M112)</f>
        <v>139</v>
      </c>
      <c r="N105" s="205">
        <f t="shared" ref="N105:O105" si="48">HEX2DEC(N112)</f>
        <v>195</v>
      </c>
      <c r="O105" s="205">
        <f t="shared" si="48"/>
        <v>74</v>
      </c>
      <c r="R105" s="1" t="s">
        <v>550</v>
      </c>
      <c r="U105" s="205">
        <f>HEX2DEC(U112)</f>
        <v>205</v>
      </c>
      <c r="V105" s="205">
        <f t="shared" ref="V105:W105" si="49">HEX2DEC(V112)</f>
        <v>220</v>
      </c>
      <c r="W105" s="205">
        <f t="shared" si="49"/>
        <v>57</v>
      </c>
    </row>
    <row r="106" spans="1:23" x14ac:dyDescent="0.3">
      <c r="A106" s="1" t="s">
        <v>464</v>
      </c>
      <c r="B106" s="204" t="str">
        <f>B105&amp;".950"</f>
        <v>green.950</v>
      </c>
      <c r="C106" s="290" t="str">
        <f t="shared" ref="C106:C116" si="50">SetIt(C106, E106, F106, G106, "#" &amp; _xlfn.CONCAT(E106,F106,G106))</f>
        <v/>
      </c>
      <c r="D106" s="1" t="s">
        <v>581</v>
      </c>
      <c r="E106" s="1" t="s">
        <v>423</v>
      </c>
      <c r="F106" s="1" t="s">
        <v>340</v>
      </c>
      <c r="G106" s="1" t="s">
        <v>423</v>
      </c>
      <c r="J106" s="204" t="str">
        <f>J105&amp;".950"</f>
        <v>light.green.950</v>
      </c>
      <c r="K106" s="317" t="str">
        <f t="shared" ref="K106:K118" si="51">SetIt(K106, M106, N106, O106, "#" &amp; _xlfn.CONCAT(M106,N106,O106))</f>
        <v/>
      </c>
      <c r="L106" s="1" t="s">
        <v>614</v>
      </c>
      <c r="M106" s="1" t="s">
        <v>82</v>
      </c>
      <c r="N106" s="1" t="s">
        <v>85</v>
      </c>
      <c r="O106" s="1" t="s">
        <v>423</v>
      </c>
      <c r="Q106" s="1" t="s">
        <v>464</v>
      </c>
      <c r="R106" s="204" t="str">
        <f>R105&amp;".950"</f>
        <v>lime.950</v>
      </c>
      <c r="S106" s="273" t="str">
        <f t="shared" ref="S106:S118" si="52">SetIt(S106, U106, V106, W106, "#" &amp; _xlfn.CONCAT(U106,V106,W106))</f>
        <v/>
      </c>
      <c r="T106" s="1" t="s">
        <v>555</v>
      </c>
      <c r="U106" s="1" t="s">
        <v>340</v>
      </c>
      <c r="V106" s="1" t="s">
        <v>340</v>
      </c>
      <c r="W106" s="1" t="s">
        <v>343</v>
      </c>
    </row>
    <row r="107" spans="1:23" x14ac:dyDescent="0.3">
      <c r="B107" s="204" t="str">
        <f>B105&amp;".900"</f>
        <v>green.900</v>
      </c>
      <c r="C107" s="293" t="str">
        <f t="shared" si="50"/>
        <v/>
      </c>
      <c r="D107" s="1" t="s">
        <v>584</v>
      </c>
      <c r="E107" s="1" t="s">
        <v>569</v>
      </c>
      <c r="F107" s="1" t="s">
        <v>343</v>
      </c>
      <c r="G107" s="1" t="s">
        <v>569</v>
      </c>
      <c r="J107" s="204" t="str">
        <f>J105&amp;".900"</f>
        <v>light.green.900</v>
      </c>
      <c r="K107" s="310" t="str">
        <f t="shared" si="51"/>
        <v/>
      </c>
      <c r="L107" s="1" t="s">
        <v>606</v>
      </c>
      <c r="M107" s="1" t="s">
        <v>346</v>
      </c>
      <c r="N107" s="1" t="s">
        <v>337</v>
      </c>
      <c r="O107" s="1" t="s">
        <v>569</v>
      </c>
      <c r="R107" s="204" t="str">
        <f>R105&amp;".900"</f>
        <v>lime.900</v>
      </c>
      <c r="S107" s="280" t="str">
        <f t="shared" si="52"/>
        <v/>
      </c>
      <c r="T107" s="1" t="s">
        <v>562</v>
      </c>
      <c r="U107" s="1" t="s">
        <v>423</v>
      </c>
      <c r="V107" s="1" t="s">
        <v>82</v>
      </c>
      <c r="W107" s="1" t="s">
        <v>522</v>
      </c>
    </row>
    <row r="108" spans="1:23" x14ac:dyDescent="0.3">
      <c r="B108" s="204" t="str">
        <f>B105&amp;".800"</f>
        <v>green.800</v>
      </c>
      <c r="C108" s="297" t="str">
        <f t="shared" si="50"/>
        <v/>
      </c>
      <c r="D108" s="1" t="s">
        <v>588</v>
      </c>
      <c r="E108" s="1" t="s">
        <v>467</v>
      </c>
      <c r="F108" s="1" t="s">
        <v>374</v>
      </c>
      <c r="G108" s="1" t="s">
        <v>575</v>
      </c>
      <c r="J108" s="204" t="str">
        <f>J105&amp;".800"</f>
        <v>light.green.800</v>
      </c>
      <c r="K108" s="308" t="str">
        <f t="shared" si="51"/>
        <v/>
      </c>
      <c r="L108" s="1" t="s">
        <v>604</v>
      </c>
      <c r="M108" s="1" t="s">
        <v>60</v>
      </c>
      <c r="N108" s="1" t="s">
        <v>424</v>
      </c>
      <c r="O108" s="1" t="s">
        <v>467</v>
      </c>
      <c r="R108" s="204" t="str">
        <f>R105&amp;".800"</f>
        <v>lime.800</v>
      </c>
      <c r="S108" s="275" t="str">
        <f t="shared" si="52"/>
        <v/>
      </c>
      <c r="T108" s="1" t="s">
        <v>557</v>
      </c>
      <c r="U108" s="1" t="s">
        <v>348</v>
      </c>
      <c r="V108" s="1" t="s">
        <v>339</v>
      </c>
      <c r="W108" s="1" t="s">
        <v>524</v>
      </c>
    </row>
    <row r="109" spans="1:23" x14ac:dyDescent="0.3">
      <c r="B109" s="204" t="str">
        <f>B105&amp;".700"</f>
        <v>green.700</v>
      </c>
      <c r="C109" s="291" t="str">
        <f t="shared" si="50"/>
        <v/>
      </c>
      <c r="D109" s="1" t="s">
        <v>582</v>
      </c>
      <c r="E109" s="1" t="s">
        <v>435</v>
      </c>
      <c r="F109" s="1" t="s">
        <v>369</v>
      </c>
      <c r="G109" s="1" t="s">
        <v>468</v>
      </c>
      <c r="J109" s="204" t="str">
        <f>J105&amp;".700"</f>
        <v>light.green.700</v>
      </c>
      <c r="K109" s="313" t="str">
        <f t="shared" si="51"/>
        <v/>
      </c>
      <c r="L109" s="1" t="s">
        <v>610</v>
      </c>
      <c r="M109" s="1" t="s">
        <v>401</v>
      </c>
      <c r="N109" s="1" t="s">
        <v>60</v>
      </c>
      <c r="O109" s="1" t="s">
        <v>435</v>
      </c>
      <c r="R109" s="204" t="str">
        <f>R105&amp;".700"</f>
        <v>lime.700</v>
      </c>
      <c r="S109" s="274" t="str">
        <f t="shared" si="52"/>
        <v/>
      </c>
      <c r="T109" s="1" t="s">
        <v>556</v>
      </c>
      <c r="U109" s="1" t="s">
        <v>458</v>
      </c>
      <c r="V109" s="1" t="s">
        <v>429</v>
      </c>
      <c r="W109" s="1" t="s">
        <v>525</v>
      </c>
    </row>
    <row r="110" spans="1:23" x14ac:dyDescent="0.3">
      <c r="B110" s="204" t="str">
        <f>B105&amp;".600"</f>
        <v>green.600</v>
      </c>
      <c r="C110" s="299" t="str">
        <f t="shared" si="50"/>
        <v/>
      </c>
      <c r="D110" s="1" t="s">
        <v>590</v>
      </c>
      <c r="E110" s="1" t="s">
        <v>516</v>
      </c>
      <c r="F110" s="1" t="s">
        <v>426</v>
      </c>
      <c r="G110" s="1" t="s">
        <v>376</v>
      </c>
      <c r="J110" s="204" t="str">
        <f>J105&amp;".600"</f>
        <v>light.green.600</v>
      </c>
      <c r="K110" s="311" t="str">
        <f t="shared" si="51"/>
        <v/>
      </c>
      <c r="L110" s="1" t="s">
        <v>608</v>
      </c>
      <c r="M110" s="1" t="s">
        <v>113</v>
      </c>
      <c r="N110" s="1" t="s">
        <v>467</v>
      </c>
      <c r="O110" s="1" t="s">
        <v>405</v>
      </c>
      <c r="R110" s="204" t="str">
        <f>R105&amp;".600"</f>
        <v>lime.600</v>
      </c>
      <c r="S110" s="277" t="str">
        <f t="shared" si="52"/>
        <v/>
      </c>
      <c r="T110" s="1" t="s">
        <v>559</v>
      </c>
      <c r="U110" s="1" t="s">
        <v>427</v>
      </c>
      <c r="V110" s="1" t="s">
        <v>399</v>
      </c>
      <c r="W110" s="1" t="s">
        <v>551</v>
      </c>
    </row>
    <row r="111" spans="1:23" x14ac:dyDescent="0.3">
      <c r="B111" s="204" t="str">
        <f>B105&amp;".500"</f>
        <v>green.500</v>
      </c>
      <c r="C111" s="298" t="str">
        <f t="shared" si="50"/>
        <v/>
      </c>
      <c r="D111" s="1" t="s">
        <v>589</v>
      </c>
      <c r="E111" s="1" t="s">
        <v>576</v>
      </c>
      <c r="F111" s="1" t="s">
        <v>397</v>
      </c>
      <c r="G111" s="1" t="s">
        <v>98</v>
      </c>
      <c r="J111" s="204" t="str">
        <f>J105&amp;".500"</f>
        <v>light.green.500</v>
      </c>
      <c r="K111" s="312" t="str">
        <f t="shared" si="51"/>
        <v/>
      </c>
      <c r="L111" s="1" t="s">
        <v>609</v>
      </c>
      <c r="M111" s="1" t="s">
        <v>602</v>
      </c>
      <c r="N111" s="1" t="s">
        <v>433</v>
      </c>
      <c r="O111" s="1" t="s">
        <v>148</v>
      </c>
      <c r="R111" s="204" t="str">
        <f>R105&amp;".500"</f>
        <v>lime.500</v>
      </c>
      <c r="S111" s="278" t="str">
        <f t="shared" si="52"/>
        <v/>
      </c>
      <c r="T111" s="1" t="s">
        <v>560</v>
      </c>
      <c r="U111" s="1" t="s">
        <v>524</v>
      </c>
      <c r="V111" s="1" t="s">
        <v>65</v>
      </c>
      <c r="W111" s="1" t="s">
        <v>93</v>
      </c>
    </row>
    <row r="112" spans="1:23" x14ac:dyDescent="0.3">
      <c r="B112" s="204" t="str">
        <f>B105&amp;".450"</f>
        <v>green.450</v>
      </c>
      <c r="C112" s="295" t="str">
        <f t="shared" si="50"/>
        <v/>
      </c>
      <c r="D112" s="1" t="s">
        <v>586</v>
      </c>
      <c r="E112" s="1" t="s">
        <v>457</v>
      </c>
      <c r="F112" s="1" t="s">
        <v>577</v>
      </c>
      <c r="G112" s="1" t="s">
        <v>20</v>
      </c>
      <c r="J112" s="204" t="str">
        <f>J105&amp;".450"</f>
        <v>light.green.450</v>
      </c>
      <c r="K112" s="42" t="str">
        <f t="shared" si="51"/>
        <v/>
      </c>
      <c r="L112" s="1" t="s">
        <v>607</v>
      </c>
      <c r="M112" s="1" t="s">
        <v>116</v>
      </c>
      <c r="N112" s="1" t="s">
        <v>70</v>
      </c>
      <c r="O112" s="1" t="s">
        <v>67</v>
      </c>
      <c r="R112" s="204" t="str">
        <f>R105&amp;".450"</f>
        <v>lime.450</v>
      </c>
      <c r="S112" s="47" t="str">
        <f t="shared" si="52"/>
        <v/>
      </c>
      <c r="T112" s="1" t="s">
        <v>564</v>
      </c>
      <c r="U112" s="1" t="s">
        <v>401</v>
      </c>
      <c r="V112" s="1" t="s">
        <v>68</v>
      </c>
      <c r="W112" s="1" t="s">
        <v>7</v>
      </c>
    </row>
    <row r="113" spans="1:23" x14ac:dyDescent="0.3">
      <c r="B113" s="204" t="str">
        <f>B105&amp;".400"</f>
        <v>green.400</v>
      </c>
      <c r="C113" s="300" t="str">
        <f t="shared" si="50"/>
        <v/>
      </c>
      <c r="D113" s="1" t="s">
        <v>591</v>
      </c>
      <c r="E113" s="1" t="s">
        <v>578</v>
      </c>
      <c r="F113" s="1" t="s">
        <v>531</v>
      </c>
      <c r="G113" s="1" t="s">
        <v>67</v>
      </c>
      <c r="J113" s="204" t="str">
        <f>J105&amp;".400"</f>
        <v>light.green.400</v>
      </c>
      <c r="K113" s="315" t="str">
        <f t="shared" si="51"/>
        <v/>
      </c>
      <c r="L113" s="1" t="s">
        <v>612</v>
      </c>
      <c r="M113" s="1" t="s">
        <v>133</v>
      </c>
      <c r="N113" s="1" t="s">
        <v>345</v>
      </c>
      <c r="O113" s="1" t="s">
        <v>127</v>
      </c>
      <c r="R113" s="204" t="str">
        <f>R105&amp;".400"</f>
        <v>lime.400</v>
      </c>
      <c r="S113" s="282" t="str">
        <f t="shared" si="52"/>
        <v/>
      </c>
      <c r="T113" s="1" t="s">
        <v>565</v>
      </c>
      <c r="U113" s="1" t="s">
        <v>552</v>
      </c>
      <c r="V113" s="1" t="s">
        <v>433</v>
      </c>
      <c r="W113" s="1" t="s">
        <v>2</v>
      </c>
    </row>
    <row r="114" spans="1:23" x14ac:dyDescent="0.3">
      <c r="B114" s="204" t="str">
        <f>B105&amp;".300"</f>
        <v>green.300</v>
      </c>
      <c r="C114" s="294" t="str">
        <f t="shared" si="50"/>
        <v/>
      </c>
      <c r="D114" s="1" t="s">
        <v>585</v>
      </c>
      <c r="E114" s="1" t="s">
        <v>380</v>
      </c>
      <c r="F114" s="1" t="s">
        <v>398</v>
      </c>
      <c r="G114" s="1" t="s">
        <v>179</v>
      </c>
      <c r="J114" s="204" t="str">
        <f>J105&amp;".300"</f>
        <v>light.green.300</v>
      </c>
      <c r="K114" s="314" t="str">
        <f t="shared" si="51"/>
        <v/>
      </c>
      <c r="L114" s="1" t="s">
        <v>611</v>
      </c>
      <c r="M114" s="1" t="s">
        <v>190</v>
      </c>
      <c r="N114" s="1" t="s">
        <v>455</v>
      </c>
      <c r="O114" s="1" t="s">
        <v>69</v>
      </c>
      <c r="R114" s="204" t="str">
        <f>R105&amp;".300"</f>
        <v>lime.300</v>
      </c>
      <c r="S114" s="279" t="str">
        <f t="shared" si="52"/>
        <v/>
      </c>
      <c r="T114" s="1" t="s">
        <v>561</v>
      </c>
      <c r="U114" s="1" t="s">
        <v>553</v>
      </c>
      <c r="V114" s="1" t="s">
        <v>435</v>
      </c>
      <c r="W114" s="1" t="s">
        <v>554</v>
      </c>
    </row>
    <row r="115" spans="1:23" x14ac:dyDescent="0.3">
      <c r="B115" s="204" t="str">
        <f>B105&amp;".200"</f>
        <v>green.200</v>
      </c>
      <c r="C115" s="292" t="str">
        <f t="shared" si="50"/>
        <v/>
      </c>
      <c r="D115" s="1" t="s">
        <v>583</v>
      </c>
      <c r="E115" s="1" t="s">
        <v>2</v>
      </c>
      <c r="F115" s="1" t="s">
        <v>80</v>
      </c>
      <c r="G115" s="1" t="s">
        <v>5</v>
      </c>
      <c r="J115" s="204" t="str">
        <f>J105&amp;".200"</f>
        <v>light.green.200</v>
      </c>
      <c r="K115" s="316" t="str">
        <f t="shared" si="51"/>
        <v/>
      </c>
      <c r="L115" s="1" t="s">
        <v>613</v>
      </c>
      <c r="M115" s="1" t="s">
        <v>603</v>
      </c>
      <c r="N115" s="1" t="s">
        <v>511</v>
      </c>
      <c r="O115" s="1" t="s">
        <v>171</v>
      </c>
      <c r="R115" s="204" t="str">
        <f>R105&amp;".200"</f>
        <v>lime.200</v>
      </c>
      <c r="S115" s="281" t="str">
        <f t="shared" si="52"/>
        <v/>
      </c>
      <c r="T115" s="1" t="s">
        <v>563</v>
      </c>
      <c r="U115" s="1" t="s">
        <v>116</v>
      </c>
      <c r="V115" s="1" t="s">
        <v>158</v>
      </c>
      <c r="W115" s="1" t="s">
        <v>194</v>
      </c>
    </row>
    <row r="116" spans="1:23" x14ac:dyDescent="0.3">
      <c r="B116" s="204" t="str">
        <f>B105&amp;".100"</f>
        <v>green.100</v>
      </c>
      <c r="C116" s="296" t="str">
        <f t="shared" si="50"/>
        <v/>
      </c>
      <c r="D116" s="1" t="s">
        <v>587</v>
      </c>
      <c r="E116" s="1" t="s">
        <v>74</v>
      </c>
      <c r="F116" s="1" t="s">
        <v>471</v>
      </c>
      <c r="G116" s="1" t="s">
        <v>115</v>
      </c>
      <c r="J116" s="204" t="str">
        <f>J105&amp;".100"</f>
        <v>light.green.100</v>
      </c>
      <c r="K116" s="309" t="str">
        <f t="shared" si="51"/>
        <v/>
      </c>
      <c r="L116" s="1" t="s">
        <v>605</v>
      </c>
      <c r="M116" s="1" t="s">
        <v>457</v>
      </c>
      <c r="N116" s="1" t="s">
        <v>477</v>
      </c>
      <c r="O116" s="1" t="s">
        <v>103</v>
      </c>
      <c r="R116" s="204" t="str">
        <f>R105&amp;".100"</f>
        <v>lime.100</v>
      </c>
      <c r="S116" s="276" t="str">
        <f t="shared" si="52"/>
        <v/>
      </c>
      <c r="T116" s="1" t="s">
        <v>558</v>
      </c>
      <c r="U116" s="1" t="s">
        <v>466</v>
      </c>
      <c r="V116" s="1" t="s">
        <v>187</v>
      </c>
      <c r="W116" s="1" t="s">
        <v>404</v>
      </c>
    </row>
    <row r="117" spans="1:23" x14ac:dyDescent="0.3">
      <c r="B117" s="204" t="str">
        <f>B105&amp;".050"</f>
        <v>green.050</v>
      </c>
      <c r="C117" s="288" t="str">
        <f t="shared" ref="C117:C118" si="53">SetIt(C117, E117, F117, G117, "#" &amp; _xlfn.CONCAT(E117,F117,G117))</f>
        <v/>
      </c>
      <c r="D117" s="1" t="s">
        <v>579</v>
      </c>
      <c r="E117" s="1" t="s">
        <v>78</v>
      </c>
      <c r="F117" s="1" t="s">
        <v>105</v>
      </c>
      <c r="G117" s="1" t="s">
        <v>122</v>
      </c>
      <c r="J117" s="204" t="str">
        <f>J105&amp;".050"</f>
        <v>light.green.050</v>
      </c>
      <c r="K117" s="318" t="str">
        <f t="shared" si="51"/>
        <v/>
      </c>
      <c r="L117" s="1" t="s">
        <v>615</v>
      </c>
      <c r="M117" s="1" t="s">
        <v>408</v>
      </c>
      <c r="N117" s="1" t="s">
        <v>93</v>
      </c>
      <c r="O117" s="1" t="s">
        <v>375</v>
      </c>
      <c r="R117" s="204" t="str">
        <f>R105&amp;".050"</f>
        <v>lime.050</v>
      </c>
      <c r="S117" s="283" t="str">
        <f t="shared" si="52"/>
        <v/>
      </c>
      <c r="T117" s="1" t="s">
        <v>566</v>
      </c>
      <c r="U117" s="1" t="s">
        <v>192</v>
      </c>
      <c r="V117" s="1" t="s">
        <v>352</v>
      </c>
      <c r="W117" s="1" t="s">
        <v>88</v>
      </c>
    </row>
    <row r="118" spans="1:23" x14ac:dyDescent="0.3">
      <c r="B118" s="204" t="str">
        <f>B105&amp;".010"</f>
        <v>green.010</v>
      </c>
      <c r="C118" s="289" t="str">
        <f t="shared" si="53"/>
        <v/>
      </c>
      <c r="D118" s="1" t="s">
        <v>580</v>
      </c>
      <c r="E118" s="1" t="s">
        <v>175</v>
      </c>
      <c r="F118" s="1" t="s">
        <v>69</v>
      </c>
      <c r="G118" s="1" t="s">
        <v>88</v>
      </c>
      <c r="J118" s="204" t="str">
        <f>J105&amp;".010"</f>
        <v>light.green.010</v>
      </c>
      <c r="K118" s="319" t="str">
        <f t="shared" si="51"/>
        <v/>
      </c>
      <c r="L118" s="1" t="s">
        <v>616</v>
      </c>
      <c r="M118" s="1" t="s">
        <v>74</v>
      </c>
      <c r="N118" s="1" t="s">
        <v>408</v>
      </c>
      <c r="O118" s="1" t="s">
        <v>377</v>
      </c>
      <c r="R118" s="204" t="str">
        <f>R105&amp;".010"</f>
        <v>lime.010</v>
      </c>
      <c r="S118" s="284" t="str">
        <f t="shared" si="52"/>
        <v/>
      </c>
      <c r="T118" s="1" t="s">
        <v>567</v>
      </c>
      <c r="U118" s="1" t="s">
        <v>69</v>
      </c>
      <c r="V118" s="1" t="s">
        <v>121</v>
      </c>
      <c r="W118" s="1" t="s">
        <v>191</v>
      </c>
    </row>
    <row r="119" spans="1:23" x14ac:dyDescent="0.3">
      <c r="E119" s="205">
        <f>HEX2DEC(E121)</f>
        <v>105</v>
      </c>
      <c r="F119" s="205">
        <f>HEX2DEC(F121)</f>
        <v>250</v>
      </c>
      <c r="G119" s="205">
        <f>HEX2DEC(G121)</f>
        <v>174</v>
      </c>
      <c r="M119" s="205">
        <f>HEX2DEC(M121)</f>
        <v>178</v>
      </c>
      <c r="N119" s="205">
        <f t="shared" ref="N119:O119" si="54">HEX2DEC(N121)</f>
        <v>255</v>
      </c>
      <c r="O119" s="205">
        <f t="shared" si="54"/>
        <v>89</v>
      </c>
      <c r="U119" s="205">
        <f>HEX2DEC(U121)</f>
        <v>238</v>
      </c>
      <c r="V119" s="205">
        <f>HEX2DEC(V121)</f>
        <v>255</v>
      </c>
      <c r="W119" s="205">
        <f>HEX2DEC(W121)</f>
        <v>65</v>
      </c>
    </row>
    <row r="120" spans="1:23" x14ac:dyDescent="0.3">
      <c r="A120" s="1" t="s">
        <v>464</v>
      </c>
      <c r="B120" s="204" t="str">
        <f>B105&amp;".a700"</f>
        <v>green.a700</v>
      </c>
      <c r="C120" s="302" t="str">
        <f>SetIt(C120, E120, F120, G120, "#" &amp; _xlfn.CONCAT(E120,F120,G120))</f>
        <v/>
      </c>
      <c r="D120" s="1" t="s">
        <v>594</v>
      </c>
      <c r="E120" s="1" t="s">
        <v>592</v>
      </c>
      <c r="F120" s="1" t="s">
        <v>85</v>
      </c>
      <c r="G120" s="1" t="s">
        <v>68</v>
      </c>
      <c r="I120" s="1" t="s">
        <v>464</v>
      </c>
      <c r="J120" s="204" t="str">
        <f>J105&amp;".a700"</f>
        <v>light.green.a700</v>
      </c>
      <c r="K120" s="320" t="str">
        <f>SetIt(K120, M120, N120, O120, "#" &amp; _xlfn.CONCAT(M120,N120,O120))</f>
        <v/>
      </c>
      <c r="L120" s="1" t="s">
        <v>617</v>
      </c>
      <c r="M120" s="1" t="s">
        <v>505</v>
      </c>
      <c r="N120" s="1" t="s">
        <v>22</v>
      </c>
      <c r="O120" s="1" t="s">
        <v>21</v>
      </c>
      <c r="Q120" s="1" t="s">
        <v>464</v>
      </c>
      <c r="R120" s="204" t="str">
        <f>R105&amp;".a700"</f>
        <v>lime.a700</v>
      </c>
      <c r="S120" s="305" t="str">
        <f>SetIt(S120, U120, V120, W120, "#" &amp; _xlfn.CONCAT(U120,V120,W120))</f>
        <v/>
      </c>
      <c r="T120" s="1" t="s">
        <v>598</v>
      </c>
      <c r="U120" s="1" t="s">
        <v>523</v>
      </c>
      <c r="V120" s="1" t="s">
        <v>22</v>
      </c>
      <c r="W120" s="1" t="s">
        <v>476</v>
      </c>
    </row>
    <row r="121" spans="1:23" x14ac:dyDescent="0.3">
      <c r="B121" s="204" t="str">
        <f>B105&amp;".a450"</f>
        <v>green.a450</v>
      </c>
      <c r="C121" s="301" t="str">
        <f>SetIt(C121, E121, F121, G121, "#" &amp; _xlfn.CONCAT(E121,F121,G121))</f>
        <v/>
      </c>
      <c r="D121" s="1" t="s">
        <v>593</v>
      </c>
      <c r="E121" s="1" t="s">
        <v>163</v>
      </c>
      <c r="F121" s="1" t="s">
        <v>343</v>
      </c>
      <c r="G121" s="1" t="s">
        <v>476</v>
      </c>
      <c r="J121" s="204" t="str">
        <f>J105&amp;".a450"</f>
        <v>light.green.a450</v>
      </c>
      <c r="K121" s="35" t="str">
        <f>SetIt(K121, M121, N121, O121, "#" &amp; _xlfn.CONCAT(M121,N121,O121))</f>
        <v/>
      </c>
      <c r="L121" s="1" t="s">
        <v>197</v>
      </c>
      <c r="M121" s="1" t="s">
        <v>147</v>
      </c>
      <c r="N121" s="1" t="s">
        <v>18</v>
      </c>
      <c r="O121" s="1" t="s">
        <v>174</v>
      </c>
      <c r="R121" s="204" t="str">
        <f>R105&amp;".a450"</f>
        <v>lime.a450</v>
      </c>
      <c r="S121" s="38" t="str">
        <f>SetIt(S121, U121, V121, W121, "#" &amp; _xlfn.CONCAT(U121,V121,W121))</f>
        <v/>
      </c>
      <c r="T121" s="1" t="s">
        <v>199</v>
      </c>
      <c r="U121" s="1" t="s">
        <v>36</v>
      </c>
      <c r="V121" s="1" t="s">
        <v>18</v>
      </c>
      <c r="W121" s="1" t="s">
        <v>179</v>
      </c>
    </row>
    <row r="122" spans="1:23" x14ac:dyDescent="0.3">
      <c r="B122" s="204" t="str">
        <f>B105&amp;".a400"</f>
        <v>green.a400</v>
      </c>
      <c r="C122" s="304" t="str">
        <f>SetIt(C122, E122, F122, G122, "#" &amp; _xlfn.CONCAT(E122,F122,G122))</f>
        <v/>
      </c>
      <c r="D122" s="1" t="s">
        <v>597</v>
      </c>
      <c r="E122" s="1" t="s">
        <v>576</v>
      </c>
      <c r="F122" s="1" t="s">
        <v>595</v>
      </c>
      <c r="G122" s="1" t="s">
        <v>110</v>
      </c>
      <c r="J122" s="204" t="str">
        <f>J105&amp;".a400"</f>
        <v>light.green.a400</v>
      </c>
      <c r="K122" s="321" t="str">
        <f>SetIt(K122, M122, N122, O122, "#" &amp; _xlfn.CONCAT(M122,N122,O122))</f>
        <v/>
      </c>
      <c r="L122" s="1" t="s">
        <v>619</v>
      </c>
      <c r="M122" s="1" t="s">
        <v>618</v>
      </c>
      <c r="N122" s="1" t="s">
        <v>366</v>
      </c>
      <c r="O122" s="1" t="s">
        <v>379</v>
      </c>
      <c r="R122" s="204" t="str">
        <f>R105&amp;".a400"</f>
        <v>lime.a400</v>
      </c>
      <c r="S122" s="306" t="str">
        <f>SetIt(S122, U122, V122, W122, "#" &amp; _xlfn.CONCAT(U122,V122,W122))</f>
        <v/>
      </c>
      <c r="T122" s="1" t="s">
        <v>599</v>
      </c>
      <c r="U122" s="1" t="s">
        <v>426</v>
      </c>
      <c r="V122" s="1" t="s">
        <v>366</v>
      </c>
      <c r="W122" s="1" t="s">
        <v>69</v>
      </c>
    </row>
    <row r="123" spans="1:23" x14ac:dyDescent="0.3">
      <c r="B123" s="204" t="str">
        <f>B105&amp;".a300"</f>
        <v>green.a300</v>
      </c>
      <c r="C123" s="303" t="str">
        <f>SetIt(C123, E123, F123, G123, "#" &amp; _xlfn.CONCAT(E123,F123,G123))</f>
        <v/>
      </c>
      <c r="D123" s="1" t="s">
        <v>596</v>
      </c>
      <c r="E123" s="1" t="s">
        <v>173</v>
      </c>
      <c r="F123" s="1" t="s">
        <v>433</v>
      </c>
      <c r="G123" s="1" t="s">
        <v>534</v>
      </c>
      <c r="J123" s="204" t="str">
        <f>J105&amp;".a300"</f>
        <v>light.green.a300</v>
      </c>
      <c r="K123" s="322" t="str">
        <f>SetIt(K123, M123, N123, O123, "#" &amp; _xlfn.CONCAT(M123,N123,O123))</f>
        <v/>
      </c>
      <c r="L123" s="1" t="s">
        <v>620</v>
      </c>
      <c r="M123" s="1" t="s">
        <v>21</v>
      </c>
      <c r="N123" s="1" t="s">
        <v>397</v>
      </c>
      <c r="O123" s="1" t="s">
        <v>193</v>
      </c>
      <c r="R123" s="204" t="str">
        <f>R105&amp;".a300"</f>
        <v>lime.a300</v>
      </c>
      <c r="S123" s="307" t="str">
        <f>SetIt(S123, U123, V123, W123, "#" &amp; _xlfn.CONCAT(U123,V123,W123))</f>
        <v/>
      </c>
      <c r="T123" s="1" t="s">
        <v>600</v>
      </c>
      <c r="U123" s="1" t="s">
        <v>453</v>
      </c>
      <c r="V123" s="1" t="s">
        <v>397</v>
      </c>
      <c r="W123" s="1" t="s">
        <v>3</v>
      </c>
    </row>
    <row r="125" spans="1:23" x14ac:dyDescent="0.3">
      <c r="A125" s="1" t="s">
        <v>464</v>
      </c>
      <c r="B125" s="1" t="s">
        <v>621</v>
      </c>
      <c r="E125" s="205">
        <f>HEX2DEC(E132)</f>
        <v>255</v>
      </c>
      <c r="F125" s="205">
        <f t="shared" ref="F125:G125" si="55">HEX2DEC(F132)</f>
        <v>235</v>
      </c>
      <c r="G125" s="205">
        <f t="shared" si="55"/>
        <v>59</v>
      </c>
      <c r="I125" s="1" t="s">
        <v>464</v>
      </c>
      <c r="J125" s="1" t="s">
        <v>635</v>
      </c>
      <c r="M125" s="205">
        <f>HEX2DEC(M132)</f>
        <v>255</v>
      </c>
      <c r="N125" s="205">
        <f t="shared" ref="N125:O125" si="56">HEX2DEC(N132)</f>
        <v>140</v>
      </c>
      <c r="O125" s="205">
        <f t="shared" si="56"/>
        <v>12</v>
      </c>
    </row>
    <row r="126" spans="1:23" x14ac:dyDescent="0.3">
      <c r="B126" s="204" t="str">
        <f>B125&amp;".950"</f>
        <v>yellow.950</v>
      </c>
      <c r="C126" s="334" t="str">
        <f t="shared" ref="C126:C138" si="57">SetIt(C126, E126, F126, G126, "#" &amp; _xlfn.CONCAT(E126,F126,G126))</f>
        <v/>
      </c>
      <c r="D126" s="1" t="s">
        <v>634</v>
      </c>
      <c r="E126" s="1" t="s">
        <v>22</v>
      </c>
      <c r="F126" s="1" t="s">
        <v>340</v>
      </c>
      <c r="G126" s="1" t="s">
        <v>343</v>
      </c>
      <c r="J126" s="204" t="str">
        <f>J125&amp;".950"</f>
        <v>orange.950</v>
      </c>
      <c r="K126" s="335" t="str">
        <f t="shared" ref="K126:K138" si="58">SetIt(K126, M126, N126, O126, "#" &amp; _xlfn.CONCAT(M126,N126,O126))</f>
        <v/>
      </c>
      <c r="L126" s="1" t="s">
        <v>636</v>
      </c>
      <c r="M126" s="1" t="s">
        <v>22</v>
      </c>
      <c r="N126" s="1" t="s">
        <v>82</v>
      </c>
      <c r="O126" s="1" t="s">
        <v>337</v>
      </c>
    </row>
    <row r="127" spans="1:23" x14ac:dyDescent="0.3">
      <c r="B127" s="204" t="str">
        <f>B125&amp;".900"</f>
        <v>yellow.900</v>
      </c>
      <c r="C127" s="323" t="str">
        <f t="shared" si="57"/>
        <v/>
      </c>
      <c r="D127" s="1" t="s">
        <v>622</v>
      </c>
      <c r="E127" s="1" t="s">
        <v>22</v>
      </c>
      <c r="F127" s="1" t="s">
        <v>85</v>
      </c>
      <c r="G127" s="1" t="s">
        <v>522</v>
      </c>
      <c r="J127" s="204" t="str">
        <f>J125&amp;".900"</f>
        <v>orange.900</v>
      </c>
      <c r="K127" s="343" t="str">
        <f t="shared" si="58"/>
        <v/>
      </c>
      <c r="L127" s="1" t="s">
        <v>653</v>
      </c>
      <c r="M127" s="1" t="s">
        <v>22</v>
      </c>
      <c r="N127" s="1" t="s">
        <v>346</v>
      </c>
      <c r="O127" s="1" t="s">
        <v>338</v>
      </c>
    </row>
    <row r="128" spans="1:23" x14ac:dyDescent="0.3">
      <c r="B128" s="204" t="str">
        <f>B125&amp;".800"</f>
        <v>yellow.800</v>
      </c>
      <c r="C128" s="327" t="str">
        <f t="shared" si="57"/>
        <v/>
      </c>
      <c r="D128" s="1" t="s">
        <v>626</v>
      </c>
      <c r="E128" s="1" t="s">
        <v>22</v>
      </c>
      <c r="F128" s="1" t="s">
        <v>343</v>
      </c>
      <c r="G128" s="1" t="s">
        <v>524</v>
      </c>
      <c r="J128" s="204" t="str">
        <f>J125&amp;".800"</f>
        <v>orange.800</v>
      </c>
      <c r="K128" s="341" t="str">
        <f t="shared" si="58"/>
        <v/>
      </c>
      <c r="L128" s="1" t="s">
        <v>651</v>
      </c>
      <c r="M128" s="1" t="s">
        <v>22</v>
      </c>
      <c r="N128" s="1" t="s">
        <v>595</v>
      </c>
      <c r="O128" s="1" t="s">
        <v>529</v>
      </c>
    </row>
    <row r="129" spans="1:15" x14ac:dyDescent="0.3">
      <c r="B129" s="204" t="str">
        <f>B125&amp;".700"</f>
        <v>yellow.700</v>
      </c>
      <c r="C129" s="328" t="str">
        <f t="shared" si="57"/>
        <v/>
      </c>
      <c r="D129" s="1" t="s">
        <v>627</v>
      </c>
      <c r="E129" s="1" t="s">
        <v>22</v>
      </c>
      <c r="F129" s="1" t="s">
        <v>367</v>
      </c>
      <c r="G129" s="1" t="s">
        <v>525</v>
      </c>
      <c r="J129" s="204" t="str">
        <f>J125&amp;".700"</f>
        <v>orange.700</v>
      </c>
      <c r="K129" s="338" t="str">
        <f t="shared" si="58"/>
        <v/>
      </c>
      <c r="L129" s="1" t="s">
        <v>648</v>
      </c>
      <c r="M129" s="1" t="s">
        <v>22</v>
      </c>
      <c r="N129" s="1" t="s">
        <v>368</v>
      </c>
      <c r="O129" s="1" t="s">
        <v>72</v>
      </c>
    </row>
    <row r="130" spans="1:15" x14ac:dyDescent="0.3">
      <c r="B130" s="204" t="str">
        <f>B125&amp;".600"</f>
        <v>yellow.600</v>
      </c>
      <c r="C130" s="331" t="str">
        <f t="shared" si="57"/>
        <v/>
      </c>
      <c r="D130" s="1" t="s">
        <v>630</v>
      </c>
      <c r="E130" s="1" t="s">
        <v>22</v>
      </c>
      <c r="F130" s="1" t="s">
        <v>424</v>
      </c>
      <c r="G130" s="1" t="s">
        <v>527</v>
      </c>
      <c r="J130" s="204" t="str">
        <f>J125&amp;".600"</f>
        <v>orange.600</v>
      </c>
      <c r="K130" s="345" t="str">
        <f t="shared" si="58"/>
        <v/>
      </c>
      <c r="L130" s="1" t="s">
        <v>655</v>
      </c>
      <c r="M130" s="1" t="s">
        <v>22</v>
      </c>
      <c r="N130" s="1" t="s">
        <v>435</v>
      </c>
      <c r="O130" s="1" t="s">
        <v>432</v>
      </c>
    </row>
    <row r="131" spans="1:15" x14ac:dyDescent="0.3">
      <c r="B131" s="204" t="str">
        <f>B125&amp;".500"</f>
        <v>yellow.500</v>
      </c>
      <c r="C131" s="332" t="str">
        <f t="shared" si="57"/>
        <v/>
      </c>
      <c r="D131" s="1" t="s">
        <v>631</v>
      </c>
      <c r="E131" s="1" t="s">
        <v>22</v>
      </c>
      <c r="F131" s="1" t="s">
        <v>522</v>
      </c>
      <c r="G131" s="1" t="s">
        <v>105</v>
      </c>
      <c r="J131" s="204" t="str">
        <f>J125&amp;".500"</f>
        <v>orange.500</v>
      </c>
      <c r="K131" s="347" t="str">
        <f t="shared" si="58"/>
        <v/>
      </c>
      <c r="L131" s="1" t="s">
        <v>657</v>
      </c>
      <c r="M131" s="1" t="s">
        <v>22</v>
      </c>
      <c r="N131" s="1" t="s">
        <v>645</v>
      </c>
      <c r="O131" s="1" t="s">
        <v>128</v>
      </c>
    </row>
    <row r="132" spans="1:15" x14ac:dyDescent="0.3">
      <c r="B132" s="204" t="str">
        <f>B125&amp;".450"</f>
        <v>yellow.450</v>
      </c>
      <c r="C132" s="40" t="str">
        <f t="shared" si="57"/>
        <v/>
      </c>
      <c r="D132" s="1" t="s">
        <v>632</v>
      </c>
      <c r="E132" s="1" t="s">
        <v>22</v>
      </c>
      <c r="F132" s="1" t="s">
        <v>366</v>
      </c>
      <c r="G132" s="1" t="s">
        <v>508</v>
      </c>
      <c r="J132" s="204" t="str">
        <f>J125&amp;".450"</f>
        <v>orange.450</v>
      </c>
      <c r="K132" s="344" t="str">
        <f t="shared" si="58"/>
        <v/>
      </c>
      <c r="L132" s="1" t="s">
        <v>654</v>
      </c>
      <c r="M132" s="1" t="s">
        <v>22</v>
      </c>
      <c r="N132" s="1" t="s">
        <v>454</v>
      </c>
      <c r="O132" s="1" t="s">
        <v>407</v>
      </c>
    </row>
    <row r="133" spans="1:15" x14ac:dyDescent="0.3">
      <c r="B133" s="204" t="str">
        <f>B125&amp;".400"</f>
        <v>yellow.400</v>
      </c>
      <c r="C133" s="326" t="str">
        <f t="shared" si="57"/>
        <v/>
      </c>
      <c r="D133" s="1" t="s">
        <v>625</v>
      </c>
      <c r="E133" s="1" t="s">
        <v>366</v>
      </c>
      <c r="F133" s="1" t="s">
        <v>575</v>
      </c>
      <c r="G133" s="1" t="s">
        <v>4</v>
      </c>
      <c r="J133" s="204" t="str">
        <f>J125&amp;".400"</f>
        <v>orange.400</v>
      </c>
      <c r="K133" s="340" t="str">
        <f t="shared" si="58"/>
        <v/>
      </c>
      <c r="L133" s="1" t="s">
        <v>650</v>
      </c>
      <c r="M133" s="1" t="s">
        <v>366</v>
      </c>
      <c r="N133" s="1" t="s">
        <v>129</v>
      </c>
      <c r="O133" s="1" t="s">
        <v>640</v>
      </c>
    </row>
    <row r="134" spans="1:15" x14ac:dyDescent="0.3">
      <c r="B134" s="204" t="str">
        <f>B125&amp;".300"</f>
        <v>yellow.300</v>
      </c>
      <c r="C134" s="333" t="str">
        <f t="shared" si="57"/>
        <v/>
      </c>
      <c r="D134" s="1" t="s">
        <v>633</v>
      </c>
      <c r="E134" s="1" t="s">
        <v>397</v>
      </c>
      <c r="F134" s="1" t="s">
        <v>83</v>
      </c>
      <c r="G134" s="1" t="s">
        <v>102</v>
      </c>
      <c r="J134" s="204" t="str">
        <f>J125&amp;".300"</f>
        <v>orange.300</v>
      </c>
      <c r="K134" s="346" t="str">
        <f t="shared" si="58"/>
        <v/>
      </c>
      <c r="L134" s="1" t="s">
        <v>656</v>
      </c>
      <c r="M134" s="1" t="s">
        <v>397</v>
      </c>
      <c r="N134" s="1" t="s">
        <v>350</v>
      </c>
      <c r="O134" s="1" t="s">
        <v>381</v>
      </c>
    </row>
    <row r="135" spans="1:15" x14ac:dyDescent="0.3">
      <c r="B135" s="204" t="str">
        <f>B125&amp;".200"</f>
        <v>yellow.200</v>
      </c>
      <c r="C135" s="324" t="str">
        <f t="shared" si="57"/>
        <v/>
      </c>
      <c r="D135" s="1" t="s">
        <v>623</v>
      </c>
      <c r="E135" s="1" t="s">
        <v>476</v>
      </c>
      <c r="F135" s="1" t="s">
        <v>110</v>
      </c>
      <c r="G135" s="1" t="s">
        <v>103</v>
      </c>
      <c r="J135" s="204" t="str">
        <f>J125&amp;".200"</f>
        <v>orange.200</v>
      </c>
      <c r="K135" s="342" t="str">
        <f t="shared" si="58"/>
        <v/>
      </c>
      <c r="L135" s="1" t="s">
        <v>652</v>
      </c>
      <c r="M135" s="1" t="s">
        <v>476</v>
      </c>
      <c r="N135" s="1" t="s">
        <v>148</v>
      </c>
      <c r="O135" s="1" t="s">
        <v>641</v>
      </c>
    </row>
    <row r="136" spans="1:15" x14ac:dyDescent="0.3">
      <c r="B136" s="204" t="str">
        <f>B125&amp;".100"</f>
        <v>yellow.100</v>
      </c>
      <c r="C136" s="325" t="str">
        <f t="shared" si="57"/>
        <v/>
      </c>
      <c r="D136" s="1" t="s">
        <v>624</v>
      </c>
      <c r="E136" s="1" t="s">
        <v>116</v>
      </c>
      <c r="F136" s="1" t="s">
        <v>133</v>
      </c>
      <c r="G136" s="1" t="s">
        <v>78</v>
      </c>
      <c r="J136" s="204" t="str">
        <f>J125&amp;".100"</f>
        <v>orange.100</v>
      </c>
      <c r="K136" s="339" t="str">
        <f t="shared" si="58"/>
        <v/>
      </c>
      <c r="L136" s="1" t="s">
        <v>649</v>
      </c>
      <c r="M136" s="1" t="s">
        <v>116</v>
      </c>
      <c r="N136" s="1" t="s">
        <v>536</v>
      </c>
      <c r="O136" s="1" t="s">
        <v>642</v>
      </c>
    </row>
    <row r="137" spans="1:15" x14ac:dyDescent="0.3">
      <c r="B137" s="204" t="str">
        <f>B125&amp;".050"</f>
        <v>yellow.050</v>
      </c>
      <c r="C137" s="329" t="str">
        <f t="shared" si="57"/>
        <v/>
      </c>
      <c r="D137" s="1" t="s">
        <v>628</v>
      </c>
      <c r="E137" s="1" t="s">
        <v>477</v>
      </c>
      <c r="F137" s="1" t="s">
        <v>576</v>
      </c>
      <c r="G137" s="1" t="s">
        <v>88</v>
      </c>
      <c r="J137" s="204" t="str">
        <f>J125&amp;".050"</f>
        <v>orange.050</v>
      </c>
      <c r="K137" s="336" t="str">
        <f t="shared" si="58"/>
        <v/>
      </c>
      <c r="L137" s="1" t="s">
        <v>646</v>
      </c>
      <c r="M137" s="1" t="s">
        <v>477</v>
      </c>
      <c r="N137" s="1" t="s">
        <v>508</v>
      </c>
      <c r="O137" s="1" t="s">
        <v>643</v>
      </c>
    </row>
    <row r="138" spans="1:15" x14ac:dyDescent="0.3">
      <c r="B138" s="204" t="str">
        <f>B125&amp;".010"</f>
        <v>yellow.010</v>
      </c>
      <c r="C138" s="330" t="str">
        <f t="shared" si="57"/>
        <v/>
      </c>
      <c r="D138" s="1" t="s">
        <v>629</v>
      </c>
      <c r="E138" s="1" t="s">
        <v>457</v>
      </c>
      <c r="F138" s="1" t="s">
        <v>578</v>
      </c>
      <c r="G138" s="1" t="s">
        <v>191</v>
      </c>
      <c r="J138" s="204" t="str">
        <f>J125&amp;".010"</f>
        <v>orange.010</v>
      </c>
      <c r="K138" s="337" t="str">
        <f t="shared" si="58"/>
        <v/>
      </c>
      <c r="L138" s="1" t="s">
        <v>647</v>
      </c>
      <c r="M138" s="1" t="s">
        <v>457</v>
      </c>
      <c r="N138" s="1" t="s">
        <v>74</v>
      </c>
      <c r="O138" s="1" t="s">
        <v>644</v>
      </c>
    </row>
    <row r="139" spans="1:15" x14ac:dyDescent="0.3">
      <c r="E139" s="205">
        <f>HEX2DEC(E141)</f>
        <v>255</v>
      </c>
      <c r="F139" s="205">
        <f>HEX2DEC(F141)</f>
        <v>255</v>
      </c>
      <c r="G139" s="205">
        <f>HEX2DEC(G141)</f>
        <v>0</v>
      </c>
      <c r="M139" s="205">
        <f>HEX2DEC(M141)</f>
        <v>255</v>
      </c>
      <c r="N139" s="205">
        <f>HEX2DEC(N141)</f>
        <v>171</v>
      </c>
      <c r="O139" s="205">
        <f>HEX2DEC(O141)</f>
        <v>64</v>
      </c>
    </row>
    <row r="140" spans="1:15" x14ac:dyDescent="0.3">
      <c r="A140" s="1" t="s">
        <v>464</v>
      </c>
      <c r="B140" s="204" t="str">
        <f>B125&amp;".a700"</f>
        <v>yellow.a700</v>
      </c>
      <c r="C140" s="348" t="str">
        <f>SetIt(C140, E140, F140, G140, "#" &amp; _xlfn.CONCAT(E140,F140,G140))</f>
        <v/>
      </c>
      <c r="D140" s="1" t="s">
        <v>658</v>
      </c>
      <c r="E140" s="1" t="s">
        <v>18</v>
      </c>
      <c r="F140" s="1" t="s">
        <v>18</v>
      </c>
      <c r="G140" s="1" t="s">
        <v>430</v>
      </c>
      <c r="I140" s="1" t="s">
        <v>464</v>
      </c>
      <c r="J140" s="204" t="str">
        <f>J125&amp;".a700"</f>
        <v>orange.a700</v>
      </c>
      <c r="K140" s="351" t="str">
        <f>SetIt(K140, M140, N140, O140, "#" &amp; _xlfn.CONCAT(M140,N140,O140))</f>
        <v/>
      </c>
      <c r="L140" s="1" t="s">
        <v>661</v>
      </c>
      <c r="M140" s="1" t="s">
        <v>22</v>
      </c>
      <c r="N140" s="1" t="s">
        <v>341</v>
      </c>
      <c r="O140" s="1" t="s">
        <v>112</v>
      </c>
    </row>
    <row r="141" spans="1:15" x14ac:dyDescent="0.3">
      <c r="B141" s="204" t="str">
        <f>B125&amp;".a450"</f>
        <v>yellow.a450</v>
      </c>
      <c r="C141" s="4" t="str">
        <f>SetIt(C141, E141, F141, G141, "#" &amp; _xlfn.CONCAT(E141,F141,G141))</f>
        <v/>
      </c>
      <c r="D141" s="1" t="s">
        <v>31</v>
      </c>
      <c r="E141" s="1" t="s">
        <v>18</v>
      </c>
      <c r="F141" s="1" t="s">
        <v>18</v>
      </c>
      <c r="G141" s="1" t="s">
        <v>19</v>
      </c>
      <c r="J141" s="204" t="str">
        <f>J125&amp;".a450"</f>
        <v>orange.a450</v>
      </c>
      <c r="K141" s="46" t="str">
        <f>SetIt(K141, M141, N141, O141, "#" &amp; _xlfn.CONCAT(M141,N141,O141))</f>
        <v/>
      </c>
      <c r="L141" s="1" t="s">
        <v>203</v>
      </c>
      <c r="M141" s="1" t="s">
        <v>18</v>
      </c>
      <c r="N141" s="1" t="s">
        <v>81</v>
      </c>
      <c r="O141" s="1" t="s">
        <v>77</v>
      </c>
    </row>
    <row r="142" spans="1:15" x14ac:dyDescent="0.3">
      <c r="B142" s="204" t="str">
        <f>B125&amp;".a400"</f>
        <v>yellow.a400</v>
      </c>
      <c r="C142" s="349" t="str">
        <f>SetIt(C142, E142, F142, G142, "#" &amp; _xlfn.CONCAT(E142,F142,G142))</f>
        <v/>
      </c>
      <c r="D142" s="1" t="s">
        <v>659</v>
      </c>
      <c r="E142" s="1" t="s">
        <v>366</v>
      </c>
      <c r="F142" s="1" t="s">
        <v>366</v>
      </c>
      <c r="G142" s="1" t="s">
        <v>19</v>
      </c>
      <c r="J142" s="204" t="str">
        <f>J125&amp;".a300"</f>
        <v>orange.a300</v>
      </c>
      <c r="K142" s="352" t="str">
        <f>SetIt(K142, M142, N142, O142, "#" &amp; _xlfn.CONCAT(M142,N142,O142))</f>
        <v/>
      </c>
      <c r="L142" s="1" t="s">
        <v>663</v>
      </c>
      <c r="M142" s="1" t="s">
        <v>397</v>
      </c>
      <c r="N142" s="1" t="s">
        <v>376</v>
      </c>
      <c r="O142" s="1" t="s">
        <v>2</v>
      </c>
    </row>
    <row r="143" spans="1:15" x14ac:dyDescent="0.3">
      <c r="B143" s="204" t="str">
        <f>B125&amp;".a300"</f>
        <v>yellow.a300</v>
      </c>
      <c r="C143" s="350" t="str">
        <f>SetIt(C143, E143, F143, G143, "#" &amp; _xlfn.CONCAT(E143,F143,G143))</f>
        <v/>
      </c>
      <c r="D143" s="1" t="s">
        <v>660</v>
      </c>
      <c r="E143" s="1" t="s">
        <v>397</v>
      </c>
      <c r="F143" s="1" t="s">
        <v>397</v>
      </c>
      <c r="G143" s="1" t="s">
        <v>19</v>
      </c>
      <c r="J143" s="204" t="str">
        <f>J125&amp;".a200"</f>
        <v>orange.a200</v>
      </c>
      <c r="K143" s="353" t="str">
        <f>SetIt(K143, M143, N143, O143, "#" &amp; _xlfn.CONCAT(M143,N143,O143))</f>
        <v/>
      </c>
      <c r="L143" s="1" t="s">
        <v>665</v>
      </c>
      <c r="M143" s="1" t="s">
        <v>476</v>
      </c>
      <c r="N143" s="1" t="s">
        <v>664</v>
      </c>
      <c r="O143" s="1" t="s">
        <v>115</v>
      </c>
    </row>
    <row r="145" spans="1:15" x14ac:dyDescent="0.3">
      <c r="A145" s="1" t="s">
        <v>464</v>
      </c>
      <c r="B145" s="1" t="s">
        <v>666</v>
      </c>
      <c r="E145" s="205">
        <f>HEX2DEC(E152)</f>
        <v>255</v>
      </c>
      <c r="F145" s="205">
        <f t="shared" ref="F145:G145" si="59">HEX2DEC(F152)</f>
        <v>193</v>
      </c>
      <c r="G145" s="205">
        <f t="shared" si="59"/>
        <v>7</v>
      </c>
      <c r="I145" s="1" t="s">
        <v>464</v>
      </c>
      <c r="J145" s="1" t="s">
        <v>667</v>
      </c>
      <c r="M145" s="205">
        <f>HEX2DEC(M152)</f>
        <v>255</v>
      </c>
      <c r="N145" s="205">
        <f t="shared" ref="N145:O145" si="60">HEX2DEC(N152)</f>
        <v>87</v>
      </c>
      <c r="O145" s="205">
        <f t="shared" si="60"/>
        <v>34</v>
      </c>
    </row>
    <row r="146" spans="1:15" x14ac:dyDescent="0.3">
      <c r="B146" s="204" t="str">
        <f>B145&amp;".950"</f>
        <v>amber.950</v>
      </c>
      <c r="C146" s="363" t="str">
        <f t="shared" ref="C146:C156" si="61">SetIt(C146, E146, F146, G146, "#" &amp; _xlfn.CONCAT(E146,F146,G146))</f>
        <v/>
      </c>
      <c r="D146" s="1" t="s">
        <v>679</v>
      </c>
      <c r="E146" s="1" t="s">
        <v>22</v>
      </c>
      <c r="F146" s="1" t="s">
        <v>85</v>
      </c>
      <c r="G146" s="1" t="s">
        <v>337</v>
      </c>
      <c r="J146" s="204" t="str">
        <f>J145&amp;".950"</f>
        <v>deep.orange.950</v>
      </c>
      <c r="K146" s="375" t="str">
        <f t="shared" ref="K146:K158" si="62">SetIt(K146, M146, N146, O146, "#" &amp; _xlfn.CONCAT(M146,N146,O146))</f>
        <v/>
      </c>
      <c r="L146" s="1" t="s">
        <v>695</v>
      </c>
      <c r="M146" s="1" t="s">
        <v>22</v>
      </c>
      <c r="N146" s="1" t="s">
        <v>423</v>
      </c>
      <c r="O146" s="1" t="s">
        <v>337</v>
      </c>
    </row>
    <row r="147" spans="1:15" x14ac:dyDescent="0.3">
      <c r="B147" s="204" t="str">
        <f>B145&amp;".900"</f>
        <v>amber.900</v>
      </c>
      <c r="C147" s="356" t="str">
        <f t="shared" si="61"/>
        <v/>
      </c>
      <c r="D147" s="1" t="s">
        <v>671</v>
      </c>
      <c r="E147" s="1" t="s">
        <v>22</v>
      </c>
      <c r="F147" s="1" t="s">
        <v>337</v>
      </c>
      <c r="G147" s="1" t="s">
        <v>338</v>
      </c>
      <c r="J147" s="204" t="str">
        <f>J145&amp;".900"</f>
        <v>deep.orange.900</v>
      </c>
      <c r="K147" s="372" t="str">
        <f t="shared" si="62"/>
        <v/>
      </c>
      <c r="L147" s="1" t="s">
        <v>692</v>
      </c>
      <c r="M147" s="1" t="s">
        <v>22</v>
      </c>
      <c r="N147" s="1" t="s">
        <v>429</v>
      </c>
      <c r="O147" s="1" t="s">
        <v>366</v>
      </c>
    </row>
    <row r="148" spans="1:15" x14ac:dyDescent="0.3">
      <c r="B148" s="204" t="str">
        <f>B145&amp;".800"</f>
        <v>amber.800</v>
      </c>
      <c r="C148" s="355" t="str">
        <f t="shared" si="61"/>
        <v/>
      </c>
      <c r="D148" s="1" t="s">
        <v>670</v>
      </c>
      <c r="E148" s="1" t="s">
        <v>22</v>
      </c>
      <c r="F148" s="1" t="s">
        <v>424</v>
      </c>
      <c r="G148" s="1" t="s">
        <v>577</v>
      </c>
      <c r="J148" s="204" t="str">
        <f>J145&amp;".800"</f>
        <v>deep.orange.800</v>
      </c>
      <c r="K148" s="368" t="str">
        <f t="shared" si="62"/>
        <v/>
      </c>
      <c r="L148" s="1" t="s">
        <v>688</v>
      </c>
      <c r="M148" s="1" t="s">
        <v>22</v>
      </c>
      <c r="N148" s="1" t="s">
        <v>66</v>
      </c>
      <c r="O148" s="1" t="s">
        <v>368</v>
      </c>
    </row>
    <row r="149" spans="1:15" x14ac:dyDescent="0.3">
      <c r="B149" s="204" t="str">
        <f>B145&amp;".700"</f>
        <v>amber.700</v>
      </c>
      <c r="C149" s="357" t="str">
        <f t="shared" si="61"/>
        <v/>
      </c>
      <c r="D149" s="1" t="s">
        <v>673</v>
      </c>
      <c r="E149" s="1" t="s">
        <v>22</v>
      </c>
      <c r="F149" s="1" t="s">
        <v>668</v>
      </c>
      <c r="G149" s="1" t="s">
        <v>91</v>
      </c>
      <c r="J149" s="204" t="str">
        <f>J145&amp;".700"</f>
        <v>deep.orange.700</v>
      </c>
      <c r="K149" s="373" t="str">
        <f t="shared" si="62"/>
        <v/>
      </c>
      <c r="L149" s="1" t="s">
        <v>693</v>
      </c>
      <c r="M149" s="1" t="s">
        <v>22</v>
      </c>
      <c r="N149" s="1" t="s">
        <v>64</v>
      </c>
      <c r="O149" s="1" t="s">
        <v>682</v>
      </c>
    </row>
    <row r="150" spans="1:15" x14ac:dyDescent="0.3">
      <c r="B150" s="204" t="str">
        <f>B145&amp;".600"</f>
        <v>amber.600</v>
      </c>
      <c r="C150" s="362" t="str">
        <f t="shared" si="61"/>
        <v/>
      </c>
      <c r="D150" s="1" t="s">
        <v>678</v>
      </c>
      <c r="E150" s="1" t="s">
        <v>22</v>
      </c>
      <c r="F150" s="1" t="s">
        <v>61</v>
      </c>
      <c r="G150" s="1" t="s">
        <v>174</v>
      </c>
      <c r="J150" s="204" t="str">
        <f>J145&amp;".600"</f>
        <v>deep.orange.600</v>
      </c>
      <c r="K150" s="370" t="str">
        <f t="shared" si="62"/>
        <v/>
      </c>
      <c r="L150" s="1" t="s">
        <v>690</v>
      </c>
      <c r="M150" s="1" t="s">
        <v>22</v>
      </c>
      <c r="N150" s="1" t="s">
        <v>639</v>
      </c>
      <c r="O150" s="1" t="s">
        <v>683</v>
      </c>
    </row>
    <row r="151" spans="1:15" x14ac:dyDescent="0.3">
      <c r="B151" s="204" t="str">
        <f>B145&amp;".500"</f>
        <v>amber.500</v>
      </c>
      <c r="C151" s="354" t="str">
        <f t="shared" si="61"/>
        <v/>
      </c>
      <c r="D151" s="1" t="s">
        <v>669</v>
      </c>
      <c r="E151" s="1" t="s">
        <v>22</v>
      </c>
      <c r="F151" s="1" t="s">
        <v>577</v>
      </c>
      <c r="G151" s="1" t="s">
        <v>181</v>
      </c>
      <c r="J151" s="204" t="str">
        <f>J145&amp;".500"</f>
        <v>deep.orange.500</v>
      </c>
      <c r="K151" s="374" t="str">
        <f t="shared" si="62"/>
        <v/>
      </c>
      <c r="L151" s="1" t="s">
        <v>694</v>
      </c>
      <c r="M151" s="1" t="s">
        <v>22</v>
      </c>
      <c r="N151" s="1" t="s">
        <v>371</v>
      </c>
      <c r="O151" s="1" t="s">
        <v>684</v>
      </c>
    </row>
    <row r="152" spans="1:15" x14ac:dyDescent="0.3">
      <c r="B152" s="204" t="str">
        <f>B145&amp;".450"</f>
        <v>amber.450</v>
      </c>
      <c r="C152" s="43" t="str">
        <f t="shared" si="61"/>
        <v/>
      </c>
      <c r="D152" s="1" t="s">
        <v>672</v>
      </c>
      <c r="E152" s="1" t="s">
        <v>22</v>
      </c>
      <c r="F152" s="1" t="s">
        <v>453</v>
      </c>
      <c r="G152" s="1" t="s">
        <v>182</v>
      </c>
      <c r="J152" s="204" t="str">
        <f>J145&amp;".450"</f>
        <v>deep.orange.450</v>
      </c>
      <c r="K152" s="44" t="str">
        <f t="shared" si="62"/>
        <v/>
      </c>
      <c r="L152" s="1" t="s">
        <v>685</v>
      </c>
      <c r="M152" s="1" t="s">
        <v>22</v>
      </c>
      <c r="N152" s="1" t="s">
        <v>176</v>
      </c>
      <c r="O152" s="1" t="s">
        <v>186</v>
      </c>
    </row>
    <row r="153" spans="1:15" x14ac:dyDescent="0.3">
      <c r="B153" s="204" t="str">
        <f>B145&amp;".400"</f>
        <v>amber.400</v>
      </c>
      <c r="C153" s="358" t="str">
        <f t="shared" si="61"/>
        <v/>
      </c>
      <c r="D153" s="1" t="s">
        <v>674</v>
      </c>
      <c r="E153" s="1" t="s">
        <v>366</v>
      </c>
      <c r="F153" s="1" t="s">
        <v>435</v>
      </c>
      <c r="G153" s="1" t="s">
        <v>642</v>
      </c>
      <c r="J153" s="204" t="str">
        <f>J145&amp;".400"</f>
        <v>deep.orange.400</v>
      </c>
      <c r="K153" s="367" t="str">
        <f t="shared" si="62"/>
        <v/>
      </c>
      <c r="L153" s="1" t="s">
        <v>687</v>
      </c>
      <c r="M153" s="1" t="s">
        <v>366</v>
      </c>
      <c r="N153" s="1" t="s">
        <v>20</v>
      </c>
      <c r="O153" s="1" t="s">
        <v>404</v>
      </c>
    </row>
    <row r="154" spans="1:15" x14ac:dyDescent="0.3">
      <c r="B154" s="204" t="str">
        <f>B145&amp;".300"</f>
        <v>amber.300</v>
      </c>
      <c r="C154" s="359" t="str">
        <f t="shared" si="61"/>
        <v/>
      </c>
      <c r="D154" s="1" t="s">
        <v>675</v>
      </c>
      <c r="E154" s="1" t="s">
        <v>397</v>
      </c>
      <c r="F154" s="1" t="s">
        <v>662</v>
      </c>
      <c r="G154" s="1" t="s">
        <v>643</v>
      </c>
      <c r="J154" s="204" t="str">
        <f>J145&amp;".300"</f>
        <v>deep.orange.300</v>
      </c>
      <c r="K154" s="366" t="str">
        <f t="shared" si="62"/>
        <v/>
      </c>
      <c r="L154" s="1" t="s">
        <v>686</v>
      </c>
      <c r="M154" s="1" t="s">
        <v>397</v>
      </c>
      <c r="N154" s="1" t="s">
        <v>578</v>
      </c>
      <c r="O154" s="1" t="s">
        <v>437</v>
      </c>
    </row>
    <row r="155" spans="1:15" x14ac:dyDescent="0.3">
      <c r="B155" s="204" t="str">
        <f>B145&amp;".200"</f>
        <v>amber.200</v>
      </c>
      <c r="C155" s="360" t="str">
        <f t="shared" si="61"/>
        <v/>
      </c>
      <c r="D155" s="1" t="s">
        <v>676</v>
      </c>
      <c r="E155" s="1" t="s">
        <v>476</v>
      </c>
      <c r="F155" s="1" t="s">
        <v>149</v>
      </c>
      <c r="G155" s="1" t="s">
        <v>644</v>
      </c>
      <c r="J155" s="204" t="str">
        <f>J145&amp;".200"</f>
        <v>deep.orange.200</v>
      </c>
      <c r="K155" s="371" t="str">
        <f t="shared" si="62"/>
        <v/>
      </c>
      <c r="L155" s="1" t="s">
        <v>691</v>
      </c>
      <c r="M155" s="1" t="s">
        <v>476</v>
      </c>
      <c r="N155" s="1" t="s">
        <v>508</v>
      </c>
      <c r="O155" s="1" t="s">
        <v>175</v>
      </c>
    </row>
    <row r="156" spans="1:15" x14ac:dyDescent="0.3">
      <c r="B156" s="204" t="str">
        <f>B145&amp;".100"</f>
        <v>amber.100</v>
      </c>
      <c r="C156" s="361" t="str">
        <f t="shared" si="61"/>
        <v/>
      </c>
      <c r="D156" s="1" t="s">
        <v>677</v>
      </c>
      <c r="E156" s="1" t="s">
        <v>116</v>
      </c>
      <c r="F156" s="1" t="s">
        <v>477</v>
      </c>
      <c r="G156" s="1" t="s">
        <v>130</v>
      </c>
      <c r="J156" s="204" t="str">
        <f>J145&amp;".100"</f>
        <v>deep.orange.100</v>
      </c>
      <c r="K156" s="369" t="str">
        <f t="shared" si="62"/>
        <v/>
      </c>
      <c r="L156" s="1" t="s">
        <v>689</v>
      </c>
      <c r="M156" s="1" t="s">
        <v>116</v>
      </c>
      <c r="N156" s="1" t="s">
        <v>533</v>
      </c>
      <c r="O156" s="1" t="s">
        <v>378</v>
      </c>
    </row>
    <row r="157" spans="1:15" x14ac:dyDescent="0.3">
      <c r="B157" s="204" t="str">
        <f>B145&amp;".050"</f>
        <v>amber.050</v>
      </c>
      <c r="C157" s="364" t="str">
        <f t="shared" ref="C157:C158" si="63">SetIt(C157, E157, F157, G157, "#" &amp; _xlfn.CONCAT(E157,F157,G157))</f>
        <v/>
      </c>
      <c r="D157" s="1" t="s">
        <v>680</v>
      </c>
      <c r="E157" s="1" t="s">
        <v>477</v>
      </c>
      <c r="F157" s="1" t="s">
        <v>93</v>
      </c>
      <c r="G157" s="1" t="s">
        <v>131</v>
      </c>
      <c r="J157" s="204" t="str">
        <f>J145&amp;".050"</f>
        <v>deep.orange.050</v>
      </c>
      <c r="K157" s="376" t="str">
        <f t="shared" si="62"/>
        <v/>
      </c>
      <c r="L157" s="1" t="s">
        <v>696</v>
      </c>
      <c r="M157" s="1" t="s">
        <v>477</v>
      </c>
      <c r="N157" s="1" t="s">
        <v>177</v>
      </c>
      <c r="O157" s="1" t="s">
        <v>73</v>
      </c>
    </row>
    <row r="158" spans="1:15" x14ac:dyDescent="0.3">
      <c r="B158" s="204" t="str">
        <f>B145&amp;".010"</f>
        <v>amber.010</v>
      </c>
      <c r="C158" s="365" t="str">
        <f t="shared" si="63"/>
        <v/>
      </c>
      <c r="D158" s="1" t="s">
        <v>681</v>
      </c>
      <c r="E158" s="1" t="s">
        <v>457</v>
      </c>
      <c r="F158" s="1" t="s">
        <v>408</v>
      </c>
      <c r="G158" s="1" t="s">
        <v>132</v>
      </c>
      <c r="J158" s="204" t="str">
        <f>J145&amp;".010"</f>
        <v>deep.orange.010</v>
      </c>
      <c r="K158" s="377" t="str">
        <f t="shared" si="62"/>
        <v/>
      </c>
      <c r="L158" s="1" t="s">
        <v>697</v>
      </c>
      <c r="M158" s="1" t="s">
        <v>457</v>
      </c>
      <c r="N158" s="1" t="s">
        <v>76</v>
      </c>
      <c r="O158" s="1" t="s">
        <v>381</v>
      </c>
    </row>
    <row r="159" spans="1:15" x14ac:dyDescent="0.3">
      <c r="E159" s="205">
        <f>HEX2DEC(E161)</f>
        <v>255</v>
      </c>
      <c r="F159" s="205">
        <f>HEX2DEC(F161)</f>
        <v>215</v>
      </c>
      <c r="G159" s="205">
        <f>HEX2DEC(G161)</f>
        <v>64</v>
      </c>
      <c r="M159" s="205">
        <f>HEX2DEC(M161)</f>
        <v>255</v>
      </c>
      <c r="N159" s="205">
        <f>HEX2DEC(N161)</f>
        <v>110</v>
      </c>
      <c r="O159" s="205">
        <f>HEX2DEC(O161)</f>
        <v>64</v>
      </c>
    </row>
    <row r="160" spans="1:15" x14ac:dyDescent="0.3">
      <c r="A160" s="1" t="s">
        <v>464</v>
      </c>
      <c r="B160" s="204" t="str">
        <f>B145&amp;".a600"</f>
        <v>amber.a600</v>
      </c>
      <c r="C160" s="378" t="str">
        <f t="shared" ref="C160:C163" si="64">SetIt(C160, E160, F160, G160, "#" &amp; _xlfn.CONCAT(E160,F160,G160))</f>
        <v/>
      </c>
      <c r="D160" s="1" t="s">
        <v>698</v>
      </c>
      <c r="E160" s="1" t="s">
        <v>22</v>
      </c>
      <c r="F160" s="1" t="s">
        <v>668</v>
      </c>
      <c r="G160" s="1" t="s">
        <v>112</v>
      </c>
      <c r="I160" s="1" t="s">
        <v>464</v>
      </c>
      <c r="J160" s="204" t="str">
        <f>J145&amp;".a600"</f>
        <v>deep.orange.a600</v>
      </c>
      <c r="K160" s="381" t="str">
        <f>SetIt(K160, M160, N160, O160, "#" &amp; _xlfn.CONCAT(M160,N160,O160))</f>
        <v/>
      </c>
      <c r="L160" s="1" t="s">
        <v>701</v>
      </c>
      <c r="M160" s="1" t="s">
        <v>22</v>
      </c>
      <c r="N160" s="1" t="s">
        <v>455</v>
      </c>
      <c r="O160" s="1" t="s">
        <v>112</v>
      </c>
    </row>
    <row r="161" spans="1:23" x14ac:dyDescent="0.3">
      <c r="B161" s="204" t="str">
        <f>B145&amp;".a450"</f>
        <v>amber.a450</v>
      </c>
      <c r="C161" s="39" t="str">
        <f t="shared" si="64"/>
        <v/>
      </c>
      <c r="D161" s="1" t="s">
        <v>200</v>
      </c>
      <c r="E161" s="1" t="s">
        <v>18</v>
      </c>
      <c r="F161" s="1" t="s">
        <v>183</v>
      </c>
      <c r="G161" s="1" t="s">
        <v>77</v>
      </c>
      <c r="J161" s="204" t="str">
        <f>J145&amp;".a450"</f>
        <v>deep.orange.a450</v>
      </c>
      <c r="K161" s="36" t="str">
        <f>SetIt(K161, M161, N161, O161, "#" &amp; _xlfn.CONCAT(M161,N161,O161))</f>
        <v/>
      </c>
      <c r="L161" s="1" t="s">
        <v>198</v>
      </c>
      <c r="M161" s="1" t="s">
        <v>18</v>
      </c>
      <c r="N161" s="1" t="s">
        <v>56</v>
      </c>
      <c r="O161" s="1" t="s">
        <v>77</v>
      </c>
    </row>
    <row r="162" spans="1:23" x14ac:dyDescent="0.3">
      <c r="B162" s="204" t="str">
        <f>B145&amp;".a400"</f>
        <v>amber.a400</v>
      </c>
      <c r="C162" s="380" t="str">
        <f t="shared" si="64"/>
        <v/>
      </c>
      <c r="D162" s="1" t="s">
        <v>700</v>
      </c>
      <c r="E162" s="1" t="s">
        <v>366</v>
      </c>
      <c r="F162" s="1" t="s">
        <v>402</v>
      </c>
      <c r="G162" s="1" t="s">
        <v>508</v>
      </c>
      <c r="J162" s="204" t="str">
        <f>J145&amp;".a400"</f>
        <v>deep.orange.a400</v>
      </c>
      <c r="K162" s="382" t="str">
        <f>SetIt(K162, M162, N162, O162, "#" &amp; _xlfn.CONCAT(M162,N162,O162))</f>
        <v/>
      </c>
      <c r="L162" s="1" t="s">
        <v>702</v>
      </c>
      <c r="M162" s="1" t="s">
        <v>366</v>
      </c>
      <c r="N162" s="1" t="s">
        <v>98</v>
      </c>
      <c r="O162" s="1" t="s">
        <v>508</v>
      </c>
    </row>
    <row r="163" spans="1:23" x14ac:dyDescent="0.3">
      <c r="B163" s="204" t="str">
        <f>B145&amp;".a300"</f>
        <v>amber.a300</v>
      </c>
      <c r="C163" s="379" t="str">
        <f t="shared" si="64"/>
        <v/>
      </c>
      <c r="D163" s="1" t="s">
        <v>699</v>
      </c>
      <c r="E163" s="1" t="s">
        <v>397</v>
      </c>
      <c r="F163" s="1" t="s">
        <v>476</v>
      </c>
      <c r="G163" s="1" t="s">
        <v>2</v>
      </c>
      <c r="J163" s="204" t="str">
        <f>J145&amp;".a300"</f>
        <v>deep.orange.a300</v>
      </c>
      <c r="K163" s="383" t="str">
        <f>SetIt(K163, M163, N163, O163, "#" &amp; _xlfn.CONCAT(M163,N163,O163))</f>
        <v/>
      </c>
      <c r="L163" s="1" t="s">
        <v>703</v>
      </c>
      <c r="M163" s="1" t="s">
        <v>397</v>
      </c>
      <c r="N163" s="1" t="s">
        <v>174</v>
      </c>
      <c r="O163" s="1" t="s">
        <v>2</v>
      </c>
    </row>
    <row r="165" spans="1:23" x14ac:dyDescent="0.3">
      <c r="A165" s="1" t="s">
        <v>464</v>
      </c>
      <c r="B165" s="1" t="s">
        <v>704</v>
      </c>
      <c r="E165" s="205">
        <f>HEX2DEC(E172)</f>
        <v>147</v>
      </c>
      <c r="F165" s="205">
        <f t="shared" ref="F165:G165" si="65">HEX2DEC(F172)</f>
        <v>86</v>
      </c>
      <c r="G165" s="205">
        <f t="shared" si="65"/>
        <v>53</v>
      </c>
      <c r="I165" s="1" t="s">
        <v>464</v>
      </c>
      <c r="J165" s="1" t="s">
        <v>705</v>
      </c>
      <c r="M165" s="205">
        <f>HEX2DEC(M172)</f>
        <v>175</v>
      </c>
      <c r="N165" s="205">
        <f t="shared" ref="N165:O165" si="66">HEX2DEC(N172)</f>
        <v>101</v>
      </c>
      <c r="O165" s="205">
        <f t="shared" si="66"/>
        <v>21</v>
      </c>
      <c r="Q165" s="1" t="s">
        <v>464</v>
      </c>
      <c r="R165" s="1" t="s">
        <v>706</v>
      </c>
      <c r="U165" s="205">
        <f>HEX2DEC(U172)</f>
        <v>240</v>
      </c>
      <c r="V165" s="205">
        <f t="shared" ref="V165:W165" si="67">HEX2DEC(V172)</f>
        <v>180</v>
      </c>
      <c r="W165" s="205">
        <f t="shared" si="67"/>
        <v>120</v>
      </c>
    </row>
    <row r="166" spans="1:23" x14ac:dyDescent="0.3">
      <c r="B166" s="204" t="str">
        <f>B165&amp;".950"</f>
        <v>medium.brown.950</v>
      </c>
      <c r="C166" s="384" t="str">
        <f t="shared" ref="C166:C176" si="68">SetIt(C166, E166, F166, G166, "#" &amp; _xlfn.CONCAT(E166,F166,G166))</f>
        <v/>
      </c>
      <c r="D166" s="1" t="s">
        <v>710</v>
      </c>
      <c r="E166" s="1" t="s">
        <v>82</v>
      </c>
      <c r="F166" s="1" t="s">
        <v>423</v>
      </c>
      <c r="G166" s="1" t="s">
        <v>343</v>
      </c>
      <c r="J166" s="204" t="str">
        <f>J165&amp;".950"</f>
        <v>brown.950</v>
      </c>
      <c r="K166" s="545" t="str">
        <f t="shared" ref="K166" si="69">SetIt(K166, M166, N166, O166, "#" &amp; _xlfn.CONCAT(M166,N166,O166))</f>
        <v/>
      </c>
      <c r="L166" s="1" t="s">
        <v>895</v>
      </c>
      <c r="M166" s="1" t="s">
        <v>85</v>
      </c>
      <c r="N166" s="1" t="s">
        <v>423</v>
      </c>
      <c r="O166" s="1" t="s">
        <v>337</v>
      </c>
      <c r="R166" s="204" t="str">
        <f>R165&amp;".950"</f>
        <v>tan.950</v>
      </c>
      <c r="S166" s="410" t="str">
        <f t="shared" ref="S166:S176" si="70">SetIt(S166, U166, V166, W166, "#" &amp; _xlfn.CONCAT(U166,V166,W166))</f>
        <v/>
      </c>
      <c r="T166" s="1" t="s">
        <v>320</v>
      </c>
      <c r="U166" s="1" t="s">
        <v>22</v>
      </c>
      <c r="V166" s="1" t="s">
        <v>85</v>
      </c>
      <c r="W166" s="1" t="s">
        <v>82</v>
      </c>
    </row>
    <row r="167" spans="1:23" x14ac:dyDescent="0.3">
      <c r="B167" s="204" t="str">
        <f>B165&amp;".900"</f>
        <v>medium.brown.900</v>
      </c>
      <c r="C167" s="389" t="str">
        <f t="shared" si="68"/>
        <v/>
      </c>
      <c r="D167" s="1" t="s">
        <v>715</v>
      </c>
      <c r="E167" s="1" t="s">
        <v>346</v>
      </c>
      <c r="F167" s="1" t="s">
        <v>429</v>
      </c>
      <c r="G167" s="1" t="s">
        <v>522</v>
      </c>
      <c r="J167" s="204" t="str">
        <f>J165&amp;".900"</f>
        <v>brown.900</v>
      </c>
      <c r="K167" s="540" t="str">
        <f t="shared" ref="K167:K176" si="71">SetIt(K167, M167, N167, O167, "#" &amp; _xlfn.CONCAT(M167,N167,O167))</f>
        <v/>
      </c>
      <c r="L167" s="1" t="s">
        <v>890</v>
      </c>
      <c r="M167" s="1" t="s">
        <v>523</v>
      </c>
      <c r="N167" s="1" t="s">
        <v>424</v>
      </c>
      <c r="O167" s="1" t="s">
        <v>458</v>
      </c>
      <c r="R167" s="204" t="str">
        <f>R165&amp;".900"</f>
        <v>tan.900</v>
      </c>
      <c r="S167" s="414" t="str">
        <f t="shared" si="70"/>
        <v/>
      </c>
      <c r="T167" s="1" t="s">
        <v>743</v>
      </c>
      <c r="U167" s="1" t="s">
        <v>340</v>
      </c>
      <c r="V167" s="1" t="s">
        <v>523</v>
      </c>
      <c r="W167" s="1" t="s">
        <v>374</v>
      </c>
    </row>
    <row r="168" spans="1:23" x14ac:dyDescent="0.3">
      <c r="B168" s="204" t="str">
        <f>B165&amp;".800"</f>
        <v>medium.brown.800</v>
      </c>
      <c r="C168" s="386" t="str">
        <f t="shared" si="68"/>
        <v/>
      </c>
      <c r="D168" s="1" t="s">
        <v>712</v>
      </c>
      <c r="E168" s="1" t="s">
        <v>399</v>
      </c>
      <c r="F168" s="1" t="s">
        <v>66</v>
      </c>
      <c r="G168" s="1" t="s">
        <v>370</v>
      </c>
      <c r="J168" s="204" t="str">
        <f>J165&amp;".800"</f>
        <v>brown.800</v>
      </c>
      <c r="K168" s="543" t="str">
        <f t="shared" si="71"/>
        <v/>
      </c>
      <c r="L168" s="1" t="s">
        <v>893</v>
      </c>
      <c r="M168" s="1" t="s">
        <v>522</v>
      </c>
      <c r="N168" s="1" t="s">
        <v>40</v>
      </c>
      <c r="O168" s="1" t="s">
        <v>505</v>
      </c>
      <c r="R168" s="204" t="str">
        <f>R165&amp;".800"</f>
        <v>tan.800</v>
      </c>
      <c r="S168" s="416" t="str">
        <f t="shared" si="70"/>
        <v/>
      </c>
      <c r="T168" s="1" t="s">
        <v>745</v>
      </c>
      <c r="U168" s="1" t="s">
        <v>82</v>
      </c>
      <c r="V168" s="1" t="s">
        <v>472</v>
      </c>
      <c r="W168" s="1" t="s">
        <v>722</v>
      </c>
    </row>
    <row r="169" spans="1:23" x14ac:dyDescent="0.3">
      <c r="B169" s="204" t="str">
        <f>B165&amp;".700"</f>
        <v>medium.brown.700</v>
      </c>
      <c r="C169" s="390" t="str">
        <f t="shared" si="68"/>
        <v/>
      </c>
      <c r="D169" s="1" t="s">
        <v>716</v>
      </c>
      <c r="E169" s="1" t="s">
        <v>528</v>
      </c>
      <c r="F169" s="1" t="s">
        <v>64</v>
      </c>
      <c r="G169" s="1" t="s">
        <v>347</v>
      </c>
      <c r="J169" s="204" t="str">
        <f>J165&amp;".700"</f>
        <v>brown.700</v>
      </c>
      <c r="K169" s="544" t="str">
        <f t="shared" si="71"/>
        <v/>
      </c>
      <c r="L169" s="1" t="s">
        <v>894</v>
      </c>
      <c r="M169" s="1" t="s">
        <v>40</v>
      </c>
      <c r="N169" s="1" t="s">
        <v>552</v>
      </c>
      <c r="O169" s="1" t="s">
        <v>349</v>
      </c>
      <c r="R169" s="204" t="str">
        <f>R165&amp;".700"</f>
        <v>tan.700</v>
      </c>
      <c r="S169" s="411" t="str">
        <f t="shared" si="70"/>
        <v/>
      </c>
      <c r="T169" s="1" t="s">
        <v>740</v>
      </c>
      <c r="U169" s="1" t="s">
        <v>337</v>
      </c>
      <c r="V169" s="1" t="s">
        <v>737</v>
      </c>
      <c r="W169" s="1" t="s">
        <v>344</v>
      </c>
    </row>
    <row r="170" spans="1:23" x14ac:dyDescent="0.3">
      <c r="B170" s="204" t="str">
        <f>B165&amp;".600"</f>
        <v>medium.brown.600</v>
      </c>
      <c r="C170" s="393" t="str">
        <f t="shared" si="68"/>
        <v/>
      </c>
      <c r="D170" s="1" t="s">
        <v>719</v>
      </c>
      <c r="E170" s="1" t="s">
        <v>64</v>
      </c>
      <c r="F170" s="1" t="s">
        <v>707</v>
      </c>
      <c r="G170" s="1" t="s">
        <v>187</v>
      </c>
      <c r="J170" s="204" t="str">
        <f>J165&amp;".600"</f>
        <v>brown.600</v>
      </c>
      <c r="K170" s="538" t="str">
        <f t="shared" si="71"/>
        <v/>
      </c>
      <c r="L170" s="1" t="s">
        <v>888</v>
      </c>
      <c r="M170" s="1" t="s">
        <v>433</v>
      </c>
      <c r="N170" s="1" t="s">
        <v>184</v>
      </c>
      <c r="O170" s="1" t="s">
        <v>99</v>
      </c>
      <c r="R170" s="204" t="str">
        <f>R165&amp;".600"</f>
        <v>tan.600</v>
      </c>
      <c r="S170" s="413" t="str">
        <f t="shared" si="70"/>
        <v/>
      </c>
      <c r="T170" s="1" t="s">
        <v>742</v>
      </c>
      <c r="U170" s="1" t="s">
        <v>346</v>
      </c>
      <c r="V170" s="1" t="s">
        <v>401</v>
      </c>
      <c r="W170" s="1" t="s">
        <v>351</v>
      </c>
    </row>
    <row r="171" spans="1:23" x14ac:dyDescent="0.3">
      <c r="B171" s="204" t="str">
        <f>B165&amp;".500"</f>
        <v>medium.brown.500</v>
      </c>
      <c r="C171" s="387" t="str">
        <f t="shared" si="68"/>
        <v/>
      </c>
      <c r="D171" s="1" t="s">
        <v>713</v>
      </c>
      <c r="E171" s="1" t="s">
        <v>110</v>
      </c>
      <c r="F171" s="1" t="s">
        <v>477</v>
      </c>
      <c r="G171" s="1" t="s">
        <v>536</v>
      </c>
      <c r="J171" s="204" t="str">
        <f>J165&amp;".500"</f>
        <v>brown.500</v>
      </c>
      <c r="K171" s="548" t="str">
        <f t="shared" si="71"/>
        <v/>
      </c>
      <c r="L171" s="1" t="s">
        <v>898</v>
      </c>
      <c r="M171" s="1" t="s">
        <v>372</v>
      </c>
      <c r="N171" s="1" t="s">
        <v>178</v>
      </c>
      <c r="O171" s="1" t="s">
        <v>95</v>
      </c>
      <c r="R171" s="204" t="str">
        <f>R165&amp;".500"</f>
        <v>tan.500</v>
      </c>
      <c r="S171" s="419" t="str">
        <f t="shared" si="70"/>
        <v/>
      </c>
      <c r="T171" s="1" t="s">
        <v>749</v>
      </c>
      <c r="U171" s="1" t="s">
        <v>425</v>
      </c>
      <c r="V171" s="1" t="s">
        <v>552</v>
      </c>
      <c r="W171" s="1" t="s">
        <v>80</v>
      </c>
    </row>
    <row r="172" spans="1:23" x14ac:dyDescent="0.3">
      <c r="B172" s="204" t="str">
        <f>B165&amp;".450"</f>
        <v>medium.brown.450</v>
      </c>
      <c r="C172" s="41" t="str">
        <f t="shared" si="68"/>
        <v/>
      </c>
      <c r="D172" s="1" t="s">
        <v>201</v>
      </c>
      <c r="E172" s="1" t="s">
        <v>188</v>
      </c>
      <c r="F172" s="1" t="s">
        <v>87</v>
      </c>
      <c r="G172" s="1" t="s">
        <v>3</v>
      </c>
      <c r="J172" s="204" t="str">
        <f>J165&amp;".450"</f>
        <v>brown.450</v>
      </c>
      <c r="K172" s="549" t="str">
        <f t="shared" si="71"/>
        <v/>
      </c>
      <c r="L172" s="1" t="s">
        <v>899</v>
      </c>
      <c r="M172" s="1" t="s">
        <v>863</v>
      </c>
      <c r="N172" s="1" t="s">
        <v>98</v>
      </c>
      <c r="O172" s="1" t="s">
        <v>124</v>
      </c>
      <c r="R172" s="204" t="str">
        <f>R165&amp;".450"</f>
        <v>tan.450</v>
      </c>
      <c r="S172" s="37" t="str">
        <f t="shared" si="70"/>
        <v/>
      </c>
      <c r="T172" s="1" t="s">
        <v>748</v>
      </c>
      <c r="U172" s="1" t="s">
        <v>429</v>
      </c>
      <c r="V172" s="1" t="s">
        <v>468</v>
      </c>
      <c r="W172" s="1" t="s">
        <v>187</v>
      </c>
    </row>
    <row r="173" spans="1:23" x14ac:dyDescent="0.3">
      <c r="B173" s="204" t="str">
        <f>B165&amp;".400"</f>
        <v>medium.brown.400</v>
      </c>
      <c r="C173" s="392" t="str">
        <f t="shared" si="68"/>
        <v/>
      </c>
      <c r="D173" s="1" t="s">
        <v>718</v>
      </c>
      <c r="E173" s="1" t="s">
        <v>516</v>
      </c>
      <c r="F173" s="1" t="s">
        <v>708</v>
      </c>
      <c r="G173" s="1" t="s">
        <v>95</v>
      </c>
      <c r="J173" s="204" t="str">
        <f>J165&amp;".400"</f>
        <v>brown.400</v>
      </c>
      <c r="K173" s="541" t="str">
        <f t="shared" si="71"/>
        <v/>
      </c>
      <c r="L173" s="1" t="s">
        <v>891</v>
      </c>
      <c r="M173" s="1" t="s">
        <v>682</v>
      </c>
      <c r="N173" s="1" t="s">
        <v>820</v>
      </c>
      <c r="O173" s="1" t="s">
        <v>478</v>
      </c>
      <c r="R173" s="204" t="str">
        <f>R165&amp;".400"</f>
        <v>tan.400</v>
      </c>
      <c r="S173" s="412" t="str">
        <f t="shared" si="70"/>
        <v/>
      </c>
      <c r="T173" s="1" t="s">
        <v>741</v>
      </c>
      <c r="U173" s="1" t="s">
        <v>40</v>
      </c>
      <c r="V173" s="1" t="s">
        <v>553</v>
      </c>
      <c r="W173" s="1" t="s">
        <v>400</v>
      </c>
    </row>
    <row r="174" spans="1:23" x14ac:dyDescent="0.3">
      <c r="B174" s="204" t="str">
        <f>B165&amp;".300"</f>
        <v>medium.brown.300</v>
      </c>
      <c r="C174" s="391" t="str">
        <f t="shared" si="68"/>
        <v/>
      </c>
      <c r="D174" s="1" t="s">
        <v>717</v>
      </c>
      <c r="E174" s="1" t="s">
        <v>178</v>
      </c>
      <c r="F174" s="1" t="s">
        <v>578</v>
      </c>
      <c r="G174" s="1" t="s">
        <v>709</v>
      </c>
      <c r="J174" s="204" t="str">
        <f>J165&amp;".300"</f>
        <v>brown.300</v>
      </c>
      <c r="K174" s="546" t="str">
        <f t="shared" si="71"/>
        <v/>
      </c>
      <c r="L174" s="1" t="s">
        <v>896</v>
      </c>
      <c r="M174" s="1" t="s">
        <v>707</v>
      </c>
      <c r="N174" s="1" t="s">
        <v>379</v>
      </c>
      <c r="O174" s="1" t="s">
        <v>191</v>
      </c>
      <c r="R174" s="204" t="str">
        <f>R165&amp;".300"</f>
        <v>tan.300</v>
      </c>
      <c r="S174" s="417" t="str">
        <f t="shared" si="70"/>
        <v/>
      </c>
      <c r="T174" s="1" t="s">
        <v>746</v>
      </c>
      <c r="U174" s="1" t="s">
        <v>530</v>
      </c>
      <c r="V174" s="1" t="s">
        <v>430</v>
      </c>
      <c r="W174" s="1" t="s">
        <v>576</v>
      </c>
    </row>
    <row r="175" spans="1:23" x14ac:dyDescent="0.3">
      <c r="B175" s="204" t="str">
        <f>B165&amp;".200"</f>
        <v>medium.brown.200</v>
      </c>
      <c r="C175" s="388" t="str">
        <f t="shared" si="68"/>
        <v/>
      </c>
      <c r="D175" s="1" t="s">
        <v>714</v>
      </c>
      <c r="E175" s="1" t="s">
        <v>120</v>
      </c>
      <c r="F175" s="1" t="s">
        <v>508</v>
      </c>
      <c r="G175" s="1" t="s">
        <v>177</v>
      </c>
      <c r="J175" s="204" t="str">
        <f>J165&amp;".200"</f>
        <v>brown.200</v>
      </c>
      <c r="K175" s="539" t="str">
        <f t="shared" si="71"/>
        <v/>
      </c>
      <c r="L175" s="1" t="s">
        <v>889</v>
      </c>
      <c r="M175" s="1" t="s">
        <v>178</v>
      </c>
      <c r="N175" s="1" t="s">
        <v>94</v>
      </c>
      <c r="O175" s="1" t="s">
        <v>73</v>
      </c>
      <c r="R175" s="204" t="str">
        <f>R165&amp;".200"</f>
        <v>tan.200</v>
      </c>
      <c r="S175" s="415" t="str">
        <f t="shared" si="70"/>
        <v/>
      </c>
      <c r="T175" s="1" t="s">
        <v>744</v>
      </c>
      <c r="U175" s="1" t="s">
        <v>373</v>
      </c>
      <c r="V175" s="1" t="s">
        <v>551</v>
      </c>
      <c r="W175" s="1" t="s">
        <v>93</v>
      </c>
    </row>
    <row r="176" spans="1:23" x14ac:dyDescent="0.3">
      <c r="B176" s="204" t="str">
        <f>B165&amp;".100"</f>
        <v>medium.brown.100</v>
      </c>
      <c r="C176" s="385" t="str">
        <f t="shared" si="68"/>
        <v/>
      </c>
      <c r="D176" s="1" t="s">
        <v>711</v>
      </c>
      <c r="E176" s="1" t="s">
        <v>20</v>
      </c>
      <c r="F176" s="1" t="s">
        <v>533</v>
      </c>
      <c r="G176" s="1" t="s">
        <v>638</v>
      </c>
      <c r="J176" s="204" t="str">
        <f>J165&amp;".100"</f>
        <v>brown.100</v>
      </c>
      <c r="K176" s="547" t="str">
        <f t="shared" si="71"/>
        <v/>
      </c>
      <c r="L176" s="1" t="s">
        <v>897</v>
      </c>
      <c r="M176" s="1" t="s">
        <v>603</v>
      </c>
      <c r="N176" s="1" t="s">
        <v>5</v>
      </c>
      <c r="O176" s="1" t="s">
        <v>640</v>
      </c>
      <c r="R176" s="204" t="str">
        <f>R165&amp;".100"</f>
        <v>tan.100</v>
      </c>
      <c r="S176" s="418" t="str">
        <f t="shared" si="70"/>
        <v/>
      </c>
      <c r="T176" s="1" t="s">
        <v>747</v>
      </c>
      <c r="U176" s="1" t="s">
        <v>125</v>
      </c>
      <c r="V176" s="1" t="s">
        <v>99</v>
      </c>
      <c r="W176" s="1" t="s">
        <v>179</v>
      </c>
    </row>
    <row r="177" spans="1:23" x14ac:dyDescent="0.3">
      <c r="B177" s="204" t="str">
        <f>B165&amp;".050"</f>
        <v>medium.brown.050</v>
      </c>
      <c r="C177" s="395" t="str">
        <f t="shared" ref="C177:C178" si="72">SetIt(C177, E177, F177, G177, "#" &amp; _xlfn.CONCAT(E177,F177,G177))</f>
        <v/>
      </c>
      <c r="D177" s="1" t="s">
        <v>721</v>
      </c>
      <c r="E177" s="1" t="s">
        <v>684</v>
      </c>
      <c r="F177" s="1" t="s">
        <v>177</v>
      </c>
      <c r="G177" s="1" t="s">
        <v>377</v>
      </c>
      <c r="J177" s="204" t="str">
        <f>J165&amp;".050"</f>
        <v>brown.050</v>
      </c>
      <c r="K177" s="537" t="str">
        <f t="shared" ref="K177:K178" si="73">SetIt(K177, M177, N177, O177, "#" &amp; _xlfn.CONCAT(M177,N177,O177))</f>
        <v/>
      </c>
      <c r="L177" s="1" t="s">
        <v>887</v>
      </c>
      <c r="M177" s="1" t="s">
        <v>193</v>
      </c>
      <c r="N177" s="1" t="s">
        <v>74</v>
      </c>
      <c r="O177" s="1" t="s">
        <v>641</v>
      </c>
      <c r="R177" s="204" t="str">
        <f>R165&amp;".050"</f>
        <v>tan.050</v>
      </c>
      <c r="S177" s="408" t="str">
        <f t="shared" ref="S177:S178" si="74">SetIt(S177, U177, V177, W177, "#" &amp; _xlfn.CONCAT(U177,V177,W177))</f>
        <v/>
      </c>
      <c r="T177" s="1" t="s">
        <v>738</v>
      </c>
      <c r="U177" s="1" t="s">
        <v>75</v>
      </c>
      <c r="V177" s="1" t="s">
        <v>67</v>
      </c>
      <c r="W177" s="1" t="s">
        <v>95</v>
      </c>
    </row>
    <row r="178" spans="1:23" x14ac:dyDescent="0.3">
      <c r="B178" s="204" t="str">
        <f>B165&amp;".010"</f>
        <v>medium.brown.010</v>
      </c>
      <c r="C178" s="394" t="str">
        <f t="shared" si="72"/>
        <v/>
      </c>
      <c r="D178" s="1" t="s">
        <v>720</v>
      </c>
      <c r="E178" s="1" t="s">
        <v>115</v>
      </c>
      <c r="F178" s="1" t="s">
        <v>76</v>
      </c>
      <c r="G178" s="1" t="s">
        <v>406</v>
      </c>
      <c r="J178" s="204" t="str">
        <f>J165&amp;".010"</f>
        <v>brown.010</v>
      </c>
      <c r="K178" s="542" t="str">
        <f t="shared" si="73"/>
        <v/>
      </c>
      <c r="L178" s="1" t="s">
        <v>892</v>
      </c>
      <c r="M178" s="1" t="s">
        <v>2</v>
      </c>
      <c r="N178" s="1" t="s">
        <v>375</v>
      </c>
      <c r="O178" s="1" t="s">
        <v>642</v>
      </c>
      <c r="R178" s="204" t="str">
        <f>R165&amp;".010"</f>
        <v>tan.010</v>
      </c>
      <c r="S178" s="409" t="str">
        <f t="shared" si="74"/>
        <v/>
      </c>
      <c r="T178" s="1" t="s">
        <v>739</v>
      </c>
      <c r="U178" s="1" t="s">
        <v>170</v>
      </c>
      <c r="V178" s="1" t="s">
        <v>3</v>
      </c>
      <c r="W178" s="1" t="s">
        <v>189</v>
      </c>
    </row>
    <row r="180" spans="1:23" x14ac:dyDescent="0.3">
      <c r="A180" s="1" t="s">
        <v>464</v>
      </c>
      <c r="B180" s="1" t="s">
        <v>750</v>
      </c>
      <c r="E180" s="205">
        <f>HEX2DEC(E187)</f>
        <v>121</v>
      </c>
      <c r="F180" s="205">
        <f t="shared" ref="F180:G180" si="75">HEX2DEC(F187)</f>
        <v>85</v>
      </c>
      <c r="G180" s="205">
        <f t="shared" si="75"/>
        <v>72</v>
      </c>
    </row>
    <row r="181" spans="1:23" x14ac:dyDescent="0.3">
      <c r="B181" s="204" t="str">
        <f>B180&amp;".950"</f>
        <v>dark.brown.950</v>
      </c>
      <c r="C181" s="398" t="str">
        <f t="shared" ref="C181:C193" si="76">SetIt(C181, E181, F181, G181, "#" &amp; _xlfn.CONCAT(E181,F181,G181))</f>
        <v/>
      </c>
      <c r="D181" s="1" t="s">
        <v>727</v>
      </c>
      <c r="E181" s="1" t="s">
        <v>82</v>
      </c>
      <c r="F181" s="1" t="s">
        <v>423</v>
      </c>
      <c r="G181" s="1" t="s">
        <v>423</v>
      </c>
    </row>
    <row r="182" spans="1:23" x14ac:dyDescent="0.3">
      <c r="B182" s="204" t="str">
        <f>B180&amp;".900"</f>
        <v>dark.brown.900</v>
      </c>
      <c r="C182" s="403" t="str">
        <f t="shared" si="76"/>
        <v/>
      </c>
      <c r="D182" s="1" t="s">
        <v>732</v>
      </c>
      <c r="E182" s="1" t="s">
        <v>374</v>
      </c>
      <c r="F182" s="1" t="s">
        <v>429</v>
      </c>
      <c r="G182" s="1" t="s">
        <v>569</v>
      </c>
    </row>
    <row r="183" spans="1:23" x14ac:dyDescent="0.3">
      <c r="B183" s="204" t="str">
        <f>B180&amp;".800"</f>
        <v>dark.brown.800</v>
      </c>
      <c r="C183" s="400" t="str">
        <f t="shared" si="76"/>
        <v/>
      </c>
      <c r="D183" s="1" t="s">
        <v>729</v>
      </c>
      <c r="E183" s="1" t="s">
        <v>722</v>
      </c>
      <c r="F183" s="1" t="s">
        <v>62</v>
      </c>
      <c r="G183" s="1" t="s">
        <v>723</v>
      </c>
    </row>
    <row r="184" spans="1:23" x14ac:dyDescent="0.3">
      <c r="B184" s="204" t="str">
        <f>B180&amp;".700"</f>
        <v>dark.brown.700</v>
      </c>
      <c r="C184" s="404" t="str">
        <f t="shared" si="76"/>
        <v/>
      </c>
      <c r="D184" s="1" t="s">
        <v>733</v>
      </c>
      <c r="E184" s="1" t="s">
        <v>344</v>
      </c>
      <c r="F184" s="1" t="s">
        <v>403</v>
      </c>
      <c r="G184" s="1" t="s">
        <v>113</v>
      </c>
    </row>
    <row r="185" spans="1:23" x14ac:dyDescent="0.3">
      <c r="B185" s="204" t="str">
        <f>B180&amp;".600"</f>
        <v>dark.brown.600</v>
      </c>
      <c r="C185" s="401" t="str">
        <f t="shared" si="76"/>
        <v/>
      </c>
      <c r="D185" s="1" t="s">
        <v>730</v>
      </c>
      <c r="E185" s="1" t="s">
        <v>351</v>
      </c>
      <c r="F185" s="1" t="s">
        <v>534</v>
      </c>
      <c r="G185" s="1" t="s">
        <v>511</v>
      </c>
    </row>
    <row r="186" spans="1:23" x14ac:dyDescent="0.3">
      <c r="B186" s="204" t="str">
        <f>B180&amp;".500"</f>
        <v>dark.brown.500</v>
      </c>
      <c r="C186" s="407" t="str">
        <f t="shared" si="76"/>
        <v/>
      </c>
      <c r="D186" s="1" t="s">
        <v>736</v>
      </c>
      <c r="E186" s="1" t="s">
        <v>160</v>
      </c>
      <c r="F186" s="1" t="s">
        <v>163</v>
      </c>
      <c r="G186" s="1" t="s">
        <v>535</v>
      </c>
    </row>
    <row r="187" spans="1:23" x14ac:dyDescent="0.3">
      <c r="B187" s="204" t="str">
        <f>B180&amp;".450"</f>
        <v>dark.brown.450</v>
      </c>
      <c r="C187" s="33" t="str">
        <f t="shared" si="76"/>
        <v/>
      </c>
      <c r="D187" s="1" t="s">
        <v>195</v>
      </c>
      <c r="E187" s="1" t="s">
        <v>101</v>
      </c>
      <c r="F187" s="1" t="s">
        <v>173</v>
      </c>
      <c r="G187" s="1" t="s">
        <v>193</v>
      </c>
    </row>
    <row r="188" spans="1:23" x14ac:dyDescent="0.3">
      <c r="B188" s="204" t="str">
        <f>B180&amp;".400"</f>
        <v>dark.brown.400</v>
      </c>
      <c r="C188" s="406" t="str">
        <f t="shared" si="76"/>
        <v/>
      </c>
      <c r="D188" s="1" t="s">
        <v>735</v>
      </c>
      <c r="E188" s="1" t="s">
        <v>466</v>
      </c>
      <c r="F188" s="1" t="s">
        <v>724</v>
      </c>
      <c r="G188" s="1" t="s">
        <v>121</v>
      </c>
    </row>
    <row r="189" spans="1:23" x14ac:dyDescent="0.3">
      <c r="B189" s="204" t="str">
        <f>B180&amp;".300"</f>
        <v>dark.brown.300</v>
      </c>
      <c r="C189" s="405" t="str">
        <f t="shared" si="76"/>
        <v/>
      </c>
      <c r="D189" s="1" t="s">
        <v>734</v>
      </c>
      <c r="E189" s="1" t="s">
        <v>99</v>
      </c>
      <c r="F189" s="1" t="s">
        <v>94</v>
      </c>
      <c r="G189" s="1" t="s">
        <v>408</v>
      </c>
    </row>
    <row r="190" spans="1:23" x14ac:dyDescent="0.3">
      <c r="B190" s="204" t="str">
        <f>B180&amp;".200"</f>
        <v>dark.brown.200</v>
      </c>
      <c r="C190" s="402" t="str">
        <f t="shared" si="76"/>
        <v/>
      </c>
      <c r="D190" s="1" t="s">
        <v>731</v>
      </c>
      <c r="E190" s="1" t="s">
        <v>379</v>
      </c>
      <c r="F190" s="1" t="s">
        <v>408</v>
      </c>
      <c r="G190" s="1" t="s">
        <v>95</v>
      </c>
    </row>
    <row r="191" spans="1:23" x14ac:dyDescent="0.3">
      <c r="B191" s="204" t="str">
        <f>B180&amp;".100"</f>
        <v>dark.brown.100</v>
      </c>
      <c r="C191" s="399" t="str">
        <f t="shared" si="76"/>
        <v/>
      </c>
      <c r="D191" s="1" t="s">
        <v>728</v>
      </c>
      <c r="E191" s="1" t="s">
        <v>121</v>
      </c>
      <c r="F191" s="1" t="s">
        <v>554</v>
      </c>
      <c r="G191" s="1" t="s">
        <v>194</v>
      </c>
    </row>
    <row r="192" spans="1:23" x14ac:dyDescent="0.3">
      <c r="B192" s="204" t="str">
        <f>B180&amp;".050"</f>
        <v>dark.brown.050</v>
      </c>
      <c r="C192" s="396" t="str">
        <f t="shared" si="76"/>
        <v/>
      </c>
      <c r="D192" s="1" t="s">
        <v>725</v>
      </c>
      <c r="E192" s="1" t="s">
        <v>171</v>
      </c>
      <c r="F192" s="1" t="s">
        <v>189</v>
      </c>
      <c r="G192" s="1" t="s">
        <v>375</v>
      </c>
    </row>
    <row r="193" spans="2:7" x14ac:dyDescent="0.3">
      <c r="B193" s="204" t="str">
        <f>B180&amp;".010"</f>
        <v>dark.brown.010</v>
      </c>
      <c r="C193" s="397" t="str">
        <f t="shared" si="76"/>
        <v/>
      </c>
      <c r="D193" s="1" t="s">
        <v>726</v>
      </c>
      <c r="E193" s="1" t="s">
        <v>177</v>
      </c>
      <c r="F193" s="1" t="s">
        <v>123</v>
      </c>
      <c r="G193" s="1" t="s">
        <v>377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FEF8-7692-4BCD-B49A-95662F06BE39}">
  <dimension ref="A2:AN97"/>
  <sheetViews>
    <sheetView topLeftCell="C1" zoomScale="180" zoomScaleNormal="180" workbookViewId="0">
      <selection activeCell="AD23" sqref="AD23"/>
    </sheetView>
  </sheetViews>
  <sheetFormatPr defaultRowHeight="14.4" x14ac:dyDescent="0.3"/>
  <cols>
    <col min="1" max="1" width="10.33203125" customWidth="1"/>
    <col min="2" max="2" width="6.5546875" style="63" customWidth="1"/>
    <col min="3" max="3" width="9.5546875" customWidth="1"/>
    <col min="4" max="4" width="9.33203125" customWidth="1"/>
    <col min="5" max="5" width="4" style="62" customWidth="1"/>
    <col min="6" max="6" width="4" customWidth="1"/>
    <col min="7" max="7" width="4" style="62" customWidth="1"/>
    <col min="8" max="8" width="4" customWidth="1"/>
    <col min="9" max="9" width="4" style="62" customWidth="1"/>
    <col min="10" max="11" width="4" customWidth="1"/>
    <col min="13" max="13" width="6.5546875" customWidth="1"/>
    <col min="14" max="14" width="9.5546875" customWidth="1"/>
    <col min="15" max="15" width="9.33203125" customWidth="1"/>
    <col min="16" max="22" width="4" customWidth="1"/>
    <col min="24" max="24" width="6.5546875" customWidth="1"/>
    <col min="25" max="25" width="9.5546875" customWidth="1"/>
    <col min="26" max="26" width="9.33203125" customWidth="1"/>
    <col min="27" max="33" width="4" customWidth="1"/>
    <col min="34" max="37" width="7.5546875" customWidth="1"/>
  </cols>
  <sheetData>
    <row r="2" spans="1:40" x14ac:dyDescent="0.3">
      <c r="A2" s="82" t="s">
        <v>243</v>
      </c>
      <c r="K2" s="83"/>
    </row>
    <row r="3" spans="1:40" x14ac:dyDescent="0.3">
      <c r="A3" s="82" t="s">
        <v>244</v>
      </c>
      <c r="K3" s="83"/>
    </row>
    <row r="5" spans="1:40" x14ac:dyDescent="0.3">
      <c r="A5" t="s">
        <v>297</v>
      </c>
      <c r="B5" s="110"/>
      <c r="C5" s="84" t="s">
        <v>269</v>
      </c>
      <c r="D5" s="111">
        <v>0.45</v>
      </c>
      <c r="E5" s="514" t="b">
        <f>(D5&lt;0)</f>
        <v>0</v>
      </c>
      <c r="F5" s="514"/>
      <c r="G5" s="514">
        <f>IF(E5,0,255*D5)</f>
        <v>114.75</v>
      </c>
      <c r="H5" s="514"/>
      <c r="I5" s="514">
        <f>IF(E5,1+D5,1-D5)</f>
        <v>0.55000000000000004</v>
      </c>
      <c r="J5" s="514"/>
      <c r="M5" s="110"/>
      <c r="N5" s="84" t="s">
        <v>269</v>
      </c>
      <c r="O5" s="111">
        <v>0.45</v>
      </c>
      <c r="P5" s="514" t="b">
        <f>(O5&lt;0)</f>
        <v>0</v>
      </c>
      <c r="Q5" s="514"/>
      <c r="R5" s="514">
        <f>IF(P5,0,255*O5)</f>
        <v>114.75</v>
      </c>
      <c r="S5" s="514"/>
      <c r="T5" s="514">
        <f>IF(P5,1+O5,1-O5)</f>
        <v>0.55000000000000004</v>
      </c>
      <c r="U5" s="514"/>
      <c r="X5" s="110"/>
      <c r="Y5" s="84"/>
      <c r="Z5" s="111"/>
      <c r="AA5" s="111"/>
      <c r="AB5" s="111"/>
      <c r="AC5" s="111"/>
      <c r="AD5" s="111"/>
      <c r="AE5" s="111"/>
      <c r="AF5" s="111"/>
    </row>
    <row r="6" spans="1:40" x14ac:dyDescent="0.3">
      <c r="A6" t="s">
        <v>310</v>
      </c>
      <c r="B6" s="112"/>
      <c r="C6" s="84" t="s">
        <v>270</v>
      </c>
      <c r="D6" s="111">
        <v>-0.14000000000000001</v>
      </c>
      <c r="E6" s="514" t="b">
        <f>(D6&lt;0)</f>
        <v>1</v>
      </c>
      <c r="F6" s="514"/>
      <c r="G6" s="514">
        <f>IF(E6,0,255*D6)</f>
        <v>0</v>
      </c>
      <c r="H6" s="514"/>
      <c r="I6" s="514">
        <f>IF(E6,1+D6,1-D6)</f>
        <v>0.86</v>
      </c>
      <c r="J6" s="514"/>
      <c r="M6" s="112"/>
      <c r="N6" s="84" t="s">
        <v>270</v>
      </c>
      <c r="O6" s="111">
        <v>-0.14000000000000001</v>
      </c>
      <c r="P6" s="514" t="b">
        <f>(O6&lt;0)</f>
        <v>1</v>
      </c>
      <c r="Q6" s="514"/>
      <c r="R6" s="514">
        <f>IF(P6,0,255*O6)</f>
        <v>0</v>
      </c>
      <c r="S6" s="514"/>
      <c r="T6" s="514">
        <f>IF(P6,1+O6,1-O6)</f>
        <v>0.86</v>
      </c>
      <c r="U6" s="514"/>
      <c r="X6" s="112"/>
      <c r="Y6" s="84"/>
      <c r="Z6" s="111"/>
      <c r="AA6" s="62" t="s">
        <v>205</v>
      </c>
      <c r="AB6" s="111">
        <v>1</v>
      </c>
      <c r="AC6" s="62" t="s">
        <v>206</v>
      </c>
      <c r="AE6" s="62" t="s">
        <v>207</v>
      </c>
      <c r="AF6" s="111">
        <v>1</v>
      </c>
      <c r="AH6" t="s">
        <v>208</v>
      </c>
      <c r="AI6" t="s">
        <v>211</v>
      </c>
      <c r="AJ6" t="s">
        <v>209</v>
      </c>
      <c r="AK6" t="s">
        <v>210</v>
      </c>
    </row>
    <row r="7" spans="1:40" x14ac:dyDescent="0.3">
      <c r="B7" s="63">
        <v>950</v>
      </c>
      <c r="C7" s="95" t="str">
        <f t="shared" ref="C7:C11" si="0">SetIt(C7, E7, G7, I7, "#" &amp; _xlfn.CONCAT(E7,G7,I7))</f>
        <v/>
      </c>
      <c r="D7" t="s">
        <v>255</v>
      </c>
      <c r="E7" s="97" t="str">
        <f t="shared" ref="E7:E14" si="1">IF(F7&lt;16,"0","")&amp;DEC2HEX(F7)</f>
        <v>FF</v>
      </c>
      <c r="F7" s="85">
        <f>ROUND(F8*I5+G5,0)</f>
        <v>255</v>
      </c>
      <c r="G7" s="97" t="str">
        <f t="shared" ref="G7:G14" si="2">IF(H7&lt;16,"0","")&amp;DEC2HEX(H7)</f>
        <v>F8</v>
      </c>
      <c r="H7" s="85">
        <f>ROUND(H8*I5+G5,0)</f>
        <v>248</v>
      </c>
      <c r="I7" s="97" t="str">
        <f t="shared" ref="I7:I14" si="3">IF(J7&lt;16,"0","")&amp;DEC2HEX(J7)</f>
        <v>F8</v>
      </c>
      <c r="J7" s="85">
        <f>ROUND(J8*I5+G5,0)</f>
        <v>248</v>
      </c>
      <c r="K7" s="85"/>
      <c r="M7" s="63">
        <v>950</v>
      </c>
      <c r="N7" s="108" t="str">
        <f t="shared" ref="N7:N19" si="4">SetIt(N7, P7, R7, T7, "#" &amp; _xlfn.CONCAT(P7,R7,T7))</f>
        <v/>
      </c>
      <c r="O7" t="s">
        <v>267</v>
      </c>
      <c r="P7" s="97" t="str">
        <f t="shared" ref="P7:P19" si="5">IF(Q7&lt;16,"0","")&amp;DEC2HEX(Q7)</f>
        <v>F8</v>
      </c>
      <c r="Q7" s="85">
        <f>ROUND(Q8*T5+R5,0)</f>
        <v>248</v>
      </c>
      <c r="R7" s="97" t="str">
        <f t="shared" ref="R7:R19" si="6">IF(S7&lt;16,"0","")&amp;DEC2HEX(S7)</f>
        <v>F8</v>
      </c>
      <c r="S7" s="85">
        <f>ROUND(S8*T5+R5,0)</f>
        <v>248</v>
      </c>
      <c r="T7" s="97" t="str">
        <f t="shared" ref="T7:T19" si="7">IF(U7&lt;16,"0","")&amp;DEC2HEX(U7)</f>
        <v>FF</v>
      </c>
      <c r="U7" s="85">
        <f>ROUND(U8*T5+R5,0)</f>
        <v>255</v>
      </c>
      <c r="X7" s="63">
        <v>950</v>
      </c>
      <c r="Y7" s="172" t="str">
        <f t="shared" ref="Y7:Y19" si="8">SetIt(Y7, AA7, AC7, AE7, "#" &amp; _xlfn.CONCAT(AA7,AC7,AE7))</f>
        <v/>
      </c>
      <c r="Z7" t="s">
        <v>329</v>
      </c>
      <c r="AA7" s="97" t="str">
        <f t="shared" ref="AA7:AA11" si="9">IF(AB7&lt;16,"0","")&amp;DEC2HEX(AB7)</f>
        <v>FE</v>
      </c>
      <c r="AB7" s="85">
        <f t="shared" ref="AB7:AB11" si="10">ROUND(AB8*(AK7*AB$6)+AJ7,0)</f>
        <v>254</v>
      </c>
      <c r="AC7" s="97" t="str">
        <f t="shared" ref="AC7:AC11" si="11">IF(AD7&lt;16,"0","")&amp;DEC2HEX(AD7)</f>
        <v>FA</v>
      </c>
      <c r="AD7" s="85">
        <f t="shared" ref="AD7:AD11" si="12">ROUND(AD8*AK7+AJ7,0)</f>
        <v>250</v>
      </c>
      <c r="AE7" s="97" t="str">
        <f t="shared" ref="AE7:AE11" si="13">IF(AF7&lt;16,"0","")&amp;DEC2HEX(AF7)</f>
        <v>FF</v>
      </c>
      <c r="AF7" s="85">
        <f>MIN(ROUND(AF8*(AK7*AF$6)+AJ7,0), 255)</f>
        <v>255</v>
      </c>
      <c r="AH7" s="111">
        <f t="shared" ref="AH7:AH10" si="14">AH8+(AH$13*AI$13)</f>
        <v>0.72</v>
      </c>
      <c r="AI7" s="111" t="b">
        <f t="shared" ref="AI7:AI11" si="15">(AH7&lt;0)</f>
        <v>0</v>
      </c>
      <c r="AJ7" s="111">
        <f t="shared" ref="AJ7:AJ11" si="16">IF(AI7,0,255*AH7)</f>
        <v>183.6</v>
      </c>
      <c r="AK7" s="111">
        <f t="shared" ref="AK7:AK11" si="17">IF(AI7,1+AH7,1-AH7)</f>
        <v>0.28000000000000003</v>
      </c>
    </row>
    <row r="8" spans="1:40" x14ac:dyDescent="0.3">
      <c r="B8" s="63">
        <v>900</v>
      </c>
      <c r="C8" s="94" t="str">
        <f t="shared" si="0"/>
        <v/>
      </c>
      <c r="D8" t="s">
        <v>254</v>
      </c>
      <c r="E8" s="97" t="str">
        <f t="shared" si="1"/>
        <v>FF</v>
      </c>
      <c r="F8" s="85">
        <f>ROUND(F9*I5+G5,0)</f>
        <v>255</v>
      </c>
      <c r="G8" s="97" t="str">
        <f t="shared" si="2"/>
        <v>F2</v>
      </c>
      <c r="H8" s="85">
        <f>ROUND(H9*I5+G5,0)</f>
        <v>242</v>
      </c>
      <c r="I8" s="97" t="str">
        <f t="shared" si="3"/>
        <v>F2</v>
      </c>
      <c r="J8" s="85">
        <f>ROUND(J9*I5+G5,0)</f>
        <v>242</v>
      </c>
      <c r="K8" s="85"/>
      <c r="M8" s="63">
        <v>900</v>
      </c>
      <c r="N8" s="109" t="str">
        <f t="shared" si="4"/>
        <v/>
      </c>
      <c r="O8" t="s">
        <v>268</v>
      </c>
      <c r="P8" s="97" t="str">
        <f t="shared" si="5"/>
        <v>F2</v>
      </c>
      <c r="Q8" s="85">
        <f>ROUND(Q9*T5+R5,0)</f>
        <v>242</v>
      </c>
      <c r="R8" s="97" t="str">
        <f t="shared" si="6"/>
        <v>F2</v>
      </c>
      <c r="S8" s="85">
        <f>ROUND(S9*T5+R5,0)</f>
        <v>242</v>
      </c>
      <c r="T8" s="97" t="str">
        <f t="shared" si="7"/>
        <v>FF</v>
      </c>
      <c r="U8" s="85">
        <f>ROUND(U9*T5+R5,0)</f>
        <v>255</v>
      </c>
      <c r="X8" s="63">
        <v>900</v>
      </c>
      <c r="Y8" s="173" t="str">
        <f t="shared" si="8"/>
        <v/>
      </c>
      <c r="Z8" t="s">
        <v>330</v>
      </c>
      <c r="AA8" s="97" t="str">
        <f t="shared" si="9"/>
        <v>FC</v>
      </c>
      <c r="AB8" s="85">
        <f t="shared" si="10"/>
        <v>252</v>
      </c>
      <c r="AC8" s="97" t="str">
        <f t="shared" si="11"/>
        <v>EE</v>
      </c>
      <c r="AD8" s="85">
        <f t="shared" si="12"/>
        <v>238</v>
      </c>
      <c r="AE8" s="97" t="str">
        <f t="shared" si="13"/>
        <v>FF</v>
      </c>
      <c r="AF8" s="85">
        <f t="shared" ref="AF8:AF12" si="18">MIN(ROUND(AF9*(AK8*AF$6)+AJ8,0), 255)</f>
        <v>255</v>
      </c>
      <c r="AH8" s="111">
        <f t="shared" si="14"/>
        <v>0.6</v>
      </c>
      <c r="AI8" s="111" t="b">
        <f t="shared" si="15"/>
        <v>0</v>
      </c>
      <c r="AJ8" s="111">
        <f t="shared" si="16"/>
        <v>153</v>
      </c>
      <c r="AK8" s="111">
        <f t="shared" si="17"/>
        <v>0.4</v>
      </c>
    </row>
    <row r="9" spans="1:40" x14ac:dyDescent="0.3">
      <c r="B9" s="63">
        <v>800</v>
      </c>
      <c r="C9" s="93" t="str">
        <f t="shared" si="0"/>
        <v/>
      </c>
      <c r="D9" t="s">
        <v>253</v>
      </c>
      <c r="E9" s="97" t="str">
        <f t="shared" si="1"/>
        <v>FF</v>
      </c>
      <c r="F9" s="85">
        <f>ROUND(F10*I5+G5,0)</f>
        <v>255</v>
      </c>
      <c r="G9" s="97" t="str">
        <f t="shared" si="2"/>
        <v>E8</v>
      </c>
      <c r="H9" s="85">
        <f>ROUND(H10*I5+G5,0)</f>
        <v>232</v>
      </c>
      <c r="I9" s="97" t="str">
        <f t="shared" si="3"/>
        <v>E8</v>
      </c>
      <c r="J9" s="85">
        <f>ROUND(J10*I5+G5,0)</f>
        <v>232</v>
      </c>
      <c r="K9" s="85"/>
      <c r="M9" s="63">
        <v>800</v>
      </c>
      <c r="N9" s="106" t="str">
        <f t="shared" si="4"/>
        <v/>
      </c>
      <c r="O9" t="s">
        <v>265</v>
      </c>
      <c r="P9" s="97" t="str">
        <f t="shared" si="5"/>
        <v>E8</v>
      </c>
      <c r="Q9" s="85">
        <f>ROUND(Q10*T5+R5,0)</f>
        <v>232</v>
      </c>
      <c r="R9" s="97" t="str">
        <f t="shared" si="6"/>
        <v>E8</v>
      </c>
      <c r="S9" s="85">
        <f>ROUND(S10*T5+R5,0)</f>
        <v>232</v>
      </c>
      <c r="T9" s="97" t="str">
        <f t="shared" si="7"/>
        <v>FF</v>
      </c>
      <c r="U9" s="85">
        <f>ROUND(U10*T5+R5,0)</f>
        <v>255</v>
      </c>
      <c r="X9" s="63">
        <v>800</v>
      </c>
      <c r="Y9" s="171" t="str">
        <f t="shared" si="8"/>
        <v/>
      </c>
      <c r="Z9" t="s">
        <v>328</v>
      </c>
      <c r="AA9" s="97" t="str">
        <f t="shared" si="9"/>
        <v>F7</v>
      </c>
      <c r="AB9" s="85">
        <f t="shared" si="10"/>
        <v>247</v>
      </c>
      <c r="AC9" s="97" t="str">
        <f t="shared" si="11"/>
        <v>D4</v>
      </c>
      <c r="AD9" s="85">
        <f t="shared" si="12"/>
        <v>212</v>
      </c>
      <c r="AE9" s="97" t="str">
        <f t="shared" si="13"/>
        <v>FF</v>
      </c>
      <c r="AF9" s="85">
        <f t="shared" si="18"/>
        <v>255</v>
      </c>
      <c r="AH9" s="111">
        <f t="shared" si="14"/>
        <v>0.48</v>
      </c>
      <c r="AI9" s="111" t="b">
        <f t="shared" si="15"/>
        <v>0</v>
      </c>
      <c r="AJ9" s="111">
        <f t="shared" si="16"/>
        <v>122.39999999999999</v>
      </c>
      <c r="AK9" s="111">
        <f t="shared" si="17"/>
        <v>0.52</v>
      </c>
    </row>
    <row r="10" spans="1:40" x14ac:dyDescent="0.3">
      <c r="B10" s="63">
        <v>700</v>
      </c>
      <c r="C10" s="92" t="str">
        <f t="shared" si="0"/>
        <v/>
      </c>
      <c r="D10" t="s">
        <v>252</v>
      </c>
      <c r="E10" s="97" t="str">
        <f t="shared" si="1"/>
        <v>FF</v>
      </c>
      <c r="F10" s="85">
        <f>ROUND(F11*I5+G5,0)</f>
        <v>255</v>
      </c>
      <c r="G10" s="97" t="str">
        <f t="shared" si="2"/>
        <v>D5</v>
      </c>
      <c r="H10" s="85">
        <f>ROUND(H11*I5+G5,0)</f>
        <v>213</v>
      </c>
      <c r="I10" s="97" t="str">
        <f t="shared" si="3"/>
        <v>D5</v>
      </c>
      <c r="J10" s="85">
        <f>ROUND(J11*I5+G5,0)</f>
        <v>213</v>
      </c>
      <c r="K10" s="85"/>
      <c r="M10" s="63">
        <v>700</v>
      </c>
      <c r="N10" s="103" t="str">
        <f t="shared" si="4"/>
        <v/>
      </c>
      <c r="O10" t="s">
        <v>262</v>
      </c>
      <c r="P10" s="97" t="str">
        <f t="shared" si="5"/>
        <v>D5</v>
      </c>
      <c r="Q10" s="85">
        <f>ROUND(Q11*T5+R5,0)</f>
        <v>213</v>
      </c>
      <c r="R10" s="97" t="str">
        <f t="shared" si="6"/>
        <v>D5</v>
      </c>
      <c r="S10" s="85">
        <f>ROUND(S11*T5+R5,0)</f>
        <v>213</v>
      </c>
      <c r="T10" s="97" t="str">
        <f t="shared" si="7"/>
        <v>FF</v>
      </c>
      <c r="U10" s="85">
        <f>ROUND(U11*T5+R5,0)</f>
        <v>255</v>
      </c>
      <c r="X10" s="63">
        <v>700</v>
      </c>
      <c r="Y10" s="170" t="str">
        <f t="shared" si="8"/>
        <v/>
      </c>
      <c r="Z10" t="s">
        <v>327</v>
      </c>
      <c r="AA10" s="97" t="str">
        <f t="shared" si="9"/>
        <v>F0</v>
      </c>
      <c r="AB10" s="85">
        <f t="shared" si="10"/>
        <v>240</v>
      </c>
      <c r="AC10" s="97" t="str">
        <f t="shared" si="11"/>
        <v>AD</v>
      </c>
      <c r="AD10" s="85">
        <f t="shared" si="12"/>
        <v>173</v>
      </c>
      <c r="AE10" s="97" t="str">
        <f t="shared" si="13"/>
        <v>FF</v>
      </c>
      <c r="AF10" s="85">
        <f t="shared" si="18"/>
        <v>255</v>
      </c>
      <c r="AH10" s="111">
        <f t="shared" si="14"/>
        <v>0.36</v>
      </c>
      <c r="AI10" s="111" t="b">
        <f t="shared" si="15"/>
        <v>0</v>
      </c>
      <c r="AJ10" s="111">
        <f t="shared" si="16"/>
        <v>91.8</v>
      </c>
      <c r="AK10" s="111">
        <f t="shared" si="17"/>
        <v>0.64</v>
      </c>
    </row>
    <row r="11" spans="1:40" x14ac:dyDescent="0.3">
      <c r="B11" s="63">
        <v>600</v>
      </c>
      <c r="C11" s="91" t="str">
        <f t="shared" si="0"/>
        <v/>
      </c>
      <c r="D11" t="s">
        <v>251</v>
      </c>
      <c r="E11" s="97" t="str">
        <f t="shared" si="1"/>
        <v>FF</v>
      </c>
      <c r="F11" s="85">
        <f>ROUND(F12*I5+G5,0)</f>
        <v>255</v>
      </c>
      <c r="G11" s="97" t="str">
        <f t="shared" si="2"/>
        <v>B2</v>
      </c>
      <c r="H11" s="85">
        <f>ROUND(H12*I5+G5,0)</f>
        <v>178</v>
      </c>
      <c r="I11" s="97" t="str">
        <f t="shared" si="3"/>
        <v>B2</v>
      </c>
      <c r="J11" s="85">
        <f>ROUND(J12*I5+G5,0)</f>
        <v>178</v>
      </c>
      <c r="K11" s="85"/>
      <c r="M11" s="63">
        <v>600</v>
      </c>
      <c r="N11" s="100" t="str">
        <f t="shared" si="4"/>
        <v/>
      </c>
      <c r="O11" t="s">
        <v>259</v>
      </c>
      <c r="P11" s="97" t="str">
        <f t="shared" si="5"/>
        <v>B2</v>
      </c>
      <c r="Q11" s="85">
        <f>ROUND(Q12*T5+R5,0)</f>
        <v>178</v>
      </c>
      <c r="R11" s="97" t="str">
        <f t="shared" si="6"/>
        <v>B2</v>
      </c>
      <c r="S11" s="85">
        <f>ROUND(S12*T5+R5,0)</f>
        <v>178</v>
      </c>
      <c r="T11" s="97" t="str">
        <f t="shared" si="7"/>
        <v>FF</v>
      </c>
      <c r="U11" s="85">
        <f>ROUND(U12*T5+R5,0)</f>
        <v>255</v>
      </c>
      <c r="X11" s="63">
        <v>600</v>
      </c>
      <c r="Y11" s="169" t="str">
        <f t="shared" si="8"/>
        <v/>
      </c>
      <c r="Z11" t="s">
        <v>326</v>
      </c>
      <c r="AA11" s="97" t="str">
        <f t="shared" si="9"/>
        <v>E7</v>
      </c>
      <c r="AB11" s="85">
        <f t="shared" si="10"/>
        <v>231</v>
      </c>
      <c r="AC11" s="97" t="str">
        <f t="shared" si="11"/>
        <v>7F</v>
      </c>
      <c r="AD11" s="85">
        <f t="shared" si="12"/>
        <v>127</v>
      </c>
      <c r="AE11" s="97" t="str">
        <f t="shared" si="13"/>
        <v>FF</v>
      </c>
      <c r="AF11" s="85">
        <f t="shared" si="18"/>
        <v>255</v>
      </c>
      <c r="AH11" s="111">
        <f>AH12+(AH$13*AI$13)</f>
        <v>0.24</v>
      </c>
      <c r="AI11" s="111" t="b">
        <f t="shared" si="15"/>
        <v>0</v>
      </c>
      <c r="AJ11" s="111">
        <f t="shared" si="16"/>
        <v>61.199999999999996</v>
      </c>
      <c r="AK11" s="111">
        <f t="shared" si="17"/>
        <v>0.76</v>
      </c>
    </row>
    <row r="12" spans="1:40" ht="15" thickBot="1" x14ac:dyDescent="0.35">
      <c r="A12" t="s">
        <v>322</v>
      </c>
      <c r="B12" s="63">
        <v>500</v>
      </c>
      <c r="C12" s="90" t="str">
        <f>SetIt(C12, E12, G12, I12, "#" &amp; _xlfn.CONCAT(E12,G12,I12))</f>
        <v/>
      </c>
      <c r="D12" t="s">
        <v>250</v>
      </c>
      <c r="E12" s="97" t="str">
        <f t="shared" si="1"/>
        <v>FF</v>
      </c>
      <c r="F12" s="85">
        <f>ROUND(F13*I5+G5,0)</f>
        <v>255</v>
      </c>
      <c r="G12" s="97" t="str">
        <f t="shared" si="2"/>
        <v>73</v>
      </c>
      <c r="H12" s="85">
        <f>ROUND(H13*I5+G5,0)</f>
        <v>115</v>
      </c>
      <c r="I12" s="97" t="str">
        <f t="shared" si="3"/>
        <v>73</v>
      </c>
      <c r="J12" s="85">
        <f>ROUND(J13*I5+G5,0)</f>
        <v>115</v>
      </c>
      <c r="K12" s="85"/>
      <c r="M12" s="63">
        <v>500</v>
      </c>
      <c r="N12" s="98" t="str">
        <f t="shared" si="4"/>
        <v/>
      </c>
      <c r="O12" t="s">
        <v>257</v>
      </c>
      <c r="P12" s="97" t="str">
        <f t="shared" si="5"/>
        <v>73</v>
      </c>
      <c r="Q12" s="85">
        <f>ROUND(Q13*T5+R5,0)</f>
        <v>115</v>
      </c>
      <c r="R12" s="97" t="str">
        <f t="shared" si="6"/>
        <v>73</v>
      </c>
      <c r="S12" s="85">
        <f>ROUND(S13*T5+R5,0)</f>
        <v>115</v>
      </c>
      <c r="T12" s="97" t="str">
        <f t="shared" si="7"/>
        <v>FF</v>
      </c>
      <c r="U12" s="85">
        <f>ROUND(U13*T5+R5,0)</f>
        <v>255</v>
      </c>
      <c r="V12" s="85"/>
      <c r="X12" s="63">
        <v>500</v>
      </c>
      <c r="Y12" s="168" t="str">
        <f t="shared" si="8"/>
        <v/>
      </c>
      <c r="Z12" t="s">
        <v>325</v>
      </c>
      <c r="AA12" s="97" t="str">
        <f>IF(AB12&lt;16,"0","")&amp;DEC2HEX(AB12)</f>
        <v>E0</v>
      </c>
      <c r="AB12" s="85">
        <f>ROUND(AB13*(AK12*AB$6)+AJ12,0)</f>
        <v>224</v>
      </c>
      <c r="AC12" s="97" t="str">
        <f>IF(AD12&lt;16,"0","")&amp;DEC2HEX(AD12)</f>
        <v>57</v>
      </c>
      <c r="AD12" s="85">
        <f>ROUND(AD13*AK12+AJ12,0)</f>
        <v>87</v>
      </c>
      <c r="AE12" s="97" t="str">
        <f>IF(AF12&lt;16,"0","")&amp;DEC2HEX(AF12)</f>
        <v>FF</v>
      </c>
      <c r="AF12" s="85">
        <f t="shared" si="18"/>
        <v>255</v>
      </c>
      <c r="AH12" s="111">
        <f>AH13</f>
        <v>0.12</v>
      </c>
      <c r="AI12" s="111" t="b">
        <f>(AH12&lt;0)</f>
        <v>0</v>
      </c>
      <c r="AJ12" s="111">
        <f>IF(AI12,0,255*AH12)</f>
        <v>30.599999999999998</v>
      </c>
      <c r="AK12" s="111">
        <f>IF(AI12,1+AH12,1-AH12)</f>
        <v>0.88</v>
      </c>
      <c r="AL12" s="111"/>
      <c r="AN12" s="111"/>
    </row>
    <row r="13" spans="1:40" ht="15.6" thickTop="1" thickBot="1" x14ac:dyDescent="0.35">
      <c r="A13" s="154" t="s">
        <v>245</v>
      </c>
      <c r="B13" s="152">
        <v>450</v>
      </c>
      <c r="C13" s="157" t="str">
        <f>SetIt(C13, E13, G13, I13, "#" &amp; _xlfn.CONCAT(E13,G13,I13))</f>
        <v/>
      </c>
      <c r="D13" s="154" t="s">
        <v>212</v>
      </c>
      <c r="E13" s="155" t="str">
        <f t="shared" si="1"/>
        <v>FF</v>
      </c>
      <c r="F13" s="156">
        <v>255</v>
      </c>
      <c r="G13" s="155" t="str">
        <f t="shared" si="2"/>
        <v>00</v>
      </c>
      <c r="H13" s="156">
        <v>0</v>
      </c>
      <c r="I13" s="155" t="str">
        <f t="shared" si="3"/>
        <v>00</v>
      </c>
      <c r="J13" s="156">
        <v>0</v>
      </c>
      <c r="K13" s="156"/>
      <c r="L13" s="154"/>
      <c r="M13" s="152">
        <v>450</v>
      </c>
      <c r="N13" s="153" t="str">
        <f t="shared" si="4"/>
        <v/>
      </c>
      <c r="O13" s="154" t="s">
        <v>225</v>
      </c>
      <c r="P13" s="155" t="str">
        <f t="shared" si="5"/>
        <v>00</v>
      </c>
      <c r="Q13" s="156">
        <v>0</v>
      </c>
      <c r="R13" s="155" t="str">
        <f t="shared" si="6"/>
        <v>00</v>
      </c>
      <c r="S13" s="156">
        <v>0</v>
      </c>
      <c r="T13" s="155" t="str">
        <f t="shared" si="7"/>
        <v>FF</v>
      </c>
      <c r="U13" s="156">
        <v>255</v>
      </c>
      <c r="V13" s="156"/>
      <c r="W13" s="154"/>
      <c r="X13" s="152">
        <v>450</v>
      </c>
      <c r="Y13" s="167" t="str">
        <f t="shared" si="8"/>
        <v/>
      </c>
      <c r="Z13" s="154" t="s">
        <v>324</v>
      </c>
      <c r="AA13" s="155" t="str">
        <f>IF(AB13&lt;16,"0","")&amp;DEC2HEX(AB13)</f>
        <v>DC</v>
      </c>
      <c r="AB13" s="156">
        <v>220</v>
      </c>
      <c r="AC13" s="155" t="str">
        <f>IF(AD13&lt;16,"0","")&amp;DEC2HEX(AD13)</f>
        <v>40</v>
      </c>
      <c r="AD13" s="156">
        <v>64</v>
      </c>
      <c r="AE13" s="155" t="str">
        <f>IF(AF13&lt;16,"0","")&amp;DEC2HEX(AF13)</f>
        <v>FF</v>
      </c>
      <c r="AF13" s="156">
        <v>255</v>
      </c>
      <c r="AH13" s="111">
        <v>0.12</v>
      </c>
      <c r="AI13" s="111">
        <v>1</v>
      </c>
      <c r="AJ13" s="111">
        <v>-0.04</v>
      </c>
      <c r="AK13" s="111">
        <v>1</v>
      </c>
    </row>
    <row r="14" spans="1:40" ht="15" thickTop="1" x14ac:dyDescent="0.3">
      <c r="A14" t="s">
        <v>323</v>
      </c>
      <c r="B14" s="63">
        <v>400</v>
      </c>
      <c r="C14" s="86" t="str">
        <f>SetIt(C14, E14, G14, I14, "#" &amp; _xlfn.CONCAT(E14,G14,I14))</f>
        <v/>
      </c>
      <c r="D14" t="s">
        <v>246</v>
      </c>
      <c r="E14" s="97" t="str">
        <f t="shared" si="1"/>
        <v>DB</v>
      </c>
      <c r="F14" s="85">
        <f>ROUND(F13*I6+G6,0)</f>
        <v>219</v>
      </c>
      <c r="G14" s="97" t="str">
        <f t="shared" si="2"/>
        <v>00</v>
      </c>
      <c r="H14" s="85">
        <f>ROUND(H13*I6+G6,0)</f>
        <v>0</v>
      </c>
      <c r="I14" s="97" t="str">
        <f t="shared" si="3"/>
        <v>00</v>
      </c>
      <c r="J14" s="85">
        <f>ROUND(J13*I6+G6,0)</f>
        <v>0</v>
      </c>
      <c r="K14" s="85"/>
      <c r="M14" s="63">
        <v>400</v>
      </c>
      <c r="N14" s="99" t="str">
        <f t="shared" si="4"/>
        <v/>
      </c>
      <c r="O14" t="s">
        <v>258</v>
      </c>
      <c r="P14" s="97" t="str">
        <f t="shared" si="5"/>
        <v>00</v>
      </c>
      <c r="Q14" s="85">
        <f>ROUND(Q13*T6+R6,0)</f>
        <v>0</v>
      </c>
      <c r="R14" s="97" t="str">
        <f t="shared" si="6"/>
        <v>00</v>
      </c>
      <c r="S14" s="85">
        <f>ROUND(S13*T6+R6,0)</f>
        <v>0</v>
      </c>
      <c r="T14" s="97" t="str">
        <f t="shared" si="7"/>
        <v>DB</v>
      </c>
      <c r="U14" s="85">
        <f>ROUND(U13*T6+R6,0)</f>
        <v>219</v>
      </c>
      <c r="V14" s="85"/>
      <c r="X14" s="63">
        <v>400</v>
      </c>
      <c r="Y14" s="174" t="str">
        <f t="shared" si="8"/>
        <v/>
      </c>
      <c r="Z14" t="s">
        <v>331</v>
      </c>
      <c r="AA14" s="97" t="str">
        <f>IF(AB14&lt;16,"0","")&amp;DEC2HEX(AB14)</f>
        <v>CA</v>
      </c>
      <c r="AB14" s="85">
        <f>ROUND(AB13*(AK14*AB$6)+AJ14,0)</f>
        <v>202</v>
      </c>
      <c r="AC14" s="97" t="str">
        <f>IF(AD14&lt;16,"0","")&amp;DEC2HEX(AD14)</f>
        <v>3B</v>
      </c>
      <c r="AD14" s="85">
        <f>ROUND(AD13*AK14+AJ14,0)</f>
        <v>59</v>
      </c>
      <c r="AE14" s="97" t="str">
        <f>IF(AF14&lt;16,"0","")&amp;DEC2HEX(AF14)</f>
        <v>EB</v>
      </c>
      <c r="AF14" s="85">
        <f>MIN(ROUND(AF13*(AK14*AF$6)+AJ14,0), 255)</f>
        <v>235</v>
      </c>
      <c r="AH14" s="111">
        <f>2*AJ13</f>
        <v>-0.08</v>
      </c>
      <c r="AI14" s="111" t="b">
        <f>(AH14&lt;0)</f>
        <v>1</v>
      </c>
      <c r="AJ14" s="111">
        <f>IF(AI14,0,255*AH14)</f>
        <v>0</v>
      </c>
      <c r="AK14" s="111">
        <f>IF(AI14,1+AH14,1-AH14)</f>
        <v>0.92</v>
      </c>
    </row>
    <row r="15" spans="1:40" x14ac:dyDescent="0.3">
      <c r="B15" s="63">
        <v>300</v>
      </c>
      <c r="C15" s="87" t="str">
        <f t="shared" ref="C15:C18" si="19">SetIt(C15, E15, G15, I15, "#" &amp; _xlfn.CONCAT(E15,G15,I15))</f>
        <v/>
      </c>
      <c r="D15" t="s">
        <v>247</v>
      </c>
      <c r="E15" s="97" t="str">
        <f t="shared" ref="E15:E19" si="20">IF(F15&lt;16,"0","")&amp;DEC2HEX(F15)</f>
        <v>BC</v>
      </c>
      <c r="F15" s="85">
        <f>ROUND(F14*I6+G6,0)</f>
        <v>188</v>
      </c>
      <c r="G15" s="97" t="str">
        <f t="shared" ref="G15:G19" si="21">IF(H15&lt;16,"0","")&amp;DEC2HEX(H15)</f>
        <v>00</v>
      </c>
      <c r="H15" s="85">
        <f>ROUND(H14*I6+G6,0)</f>
        <v>0</v>
      </c>
      <c r="I15" s="97" t="str">
        <f t="shared" ref="I15:I19" si="22">IF(J15&lt;16,"0","")&amp;DEC2HEX(J15)</f>
        <v>00</v>
      </c>
      <c r="J15" s="85">
        <f>ROUND(J14*I6+G6,0)</f>
        <v>0</v>
      </c>
      <c r="K15" s="85"/>
      <c r="M15" s="63">
        <v>300</v>
      </c>
      <c r="N15" s="101" t="str">
        <f t="shared" si="4"/>
        <v/>
      </c>
      <c r="O15" t="s">
        <v>260</v>
      </c>
      <c r="P15" s="97" t="str">
        <f t="shared" si="5"/>
        <v>00</v>
      </c>
      <c r="Q15" s="85">
        <f>ROUND(Q14*T6+R6,0)</f>
        <v>0</v>
      </c>
      <c r="R15" s="97" t="str">
        <f t="shared" si="6"/>
        <v>00</v>
      </c>
      <c r="S15" s="85">
        <f>ROUND(S14*T6+R6,0)</f>
        <v>0</v>
      </c>
      <c r="T15" s="97" t="str">
        <f t="shared" si="7"/>
        <v>BC</v>
      </c>
      <c r="U15" s="85">
        <f>ROUND(U14*T6+R6,0)</f>
        <v>188</v>
      </c>
      <c r="X15" s="63">
        <v>300</v>
      </c>
      <c r="Y15" s="175" t="str">
        <f t="shared" si="8"/>
        <v/>
      </c>
      <c r="Z15" t="s">
        <v>332</v>
      </c>
      <c r="AA15" s="97" t="str">
        <f t="shared" ref="AA15:AA19" si="23">IF(AB15&lt;16,"0","")&amp;DEC2HEX(AB15)</f>
        <v>B2</v>
      </c>
      <c r="AB15" s="85">
        <f t="shared" ref="AB15:AB19" si="24">ROUND(AB14*(AK15*AB$6)+AJ15,0)</f>
        <v>178</v>
      </c>
      <c r="AC15" s="97" t="str">
        <f t="shared" ref="AC15:AC19" si="25">IF(AD15&lt;16,"0","")&amp;DEC2HEX(AD15)</f>
        <v>34</v>
      </c>
      <c r="AD15" s="85">
        <f t="shared" ref="AD15:AD19" si="26">ROUND(AD14*AK15+AJ15,0)</f>
        <v>52</v>
      </c>
      <c r="AE15" s="97" t="str">
        <f t="shared" ref="AE15:AE19" si="27">IF(AF15&lt;16,"0","")&amp;DEC2HEX(AF15)</f>
        <v>CF</v>
      </c>
      <c r="AF15" s="85">
        <f t="shared" ref="AF15:AF19" si="28">MIN(ROUND(AF14*(AK15*AF$6)+AJ15,0), 255)</f>
        <v>207</v>
      </c>
      <c r="AH15" s="111">
        <f>AH14+(AJ$13*AK$13)</f>
        <v>-0.12</v>
      </c>
      <c r="AI15" s="111" t="b">
        <f t="shared" ref="AI15:AI19" si="29">(AH15&lt;0)</f>
        <v>1</v>
      </c>
      <c r="AJ15" s="111">
        <f t="shared" ref="AJ15:AJ19" si="30">IF(AI15,0,255*AH15)</f>
        <v>0</v>
      </c>
      <c r="AK15" s="111">
        <f t="shared" ref="AK15:AK19" si="31">IF(AI15,1+AH15,1-AH15)</f>
        <v>0.88</v>
      </c>
    </row>
    <row r="16" spans="1:40" x14ac:dyDescent="0.3">
      <c r="B16" s="63">
        <v>200</v>
      </c>
      <c r="C16" s="88" t="str">
        <f t="shared" si="19"/>
        <v/>
      </c>
      <c r="D16" t="s">
        <v>248</v>
      </c>
      <c r="E16" s="97" t="str">
        <f t="shared" si="20"/>
        <v>A2</v>
      </c>
      <c r="F16" s="85">
        <f>ROUND(F15*I6+G6,0)</f>
        <v>162</v>
      </c>
      <c r="G16" s="97" t="str">
        <f t="shared" si="21"/>
        <v>00</v>
      </c>
      <c r="H16" s="85">
        <f>ROUND(H15*I6+G6,0)</f>
        <v>0</v>
      </c>
      <c r="I16" s="97" t="str">
        <f t="shared" si="22"/>
        <v>00</v>
      </c>
      <c r="J16" s="85">
        <f>ROUND(J15*I6+G6,0)</f>
        <v>0</v>
      </c>
      <c r="K16" s="85"/>
      <c r="M16" s="63">
        <v>200</v>
      </c>
      <c r="N16" s="102" t="str">
        <f t="shared" si="4"/>
        <v/>
      </c>
      <c r="O16" t="s">
        <v>261</v>
      </c>
      <c r="P16" s="97" t="str">
        <f t="shared" si="5"/>
        <v>00</v>
      </c>
      <c r="Q16" s="85">
        <f>ROUND(Q15*T6+R6,0)</f>
        <v>0</v>
      </c>
      <c r="R16" s="97" t="str">
        <f t="shared" si="6"/>
        <v>00</v>
      </c>
      <c r="S16" s="85">
        <f>ROUND(S15*T6+R6,0)</f>
        <v>0</v>
      </c>
      <c r="T16" s="97" t="str">
        <f t="shared" si="7"/>
        <v>A2</v>
      </c>
      <c r="U16" s="85">
        <f>ROUND(U15*T6+R6,0)</f>
        <v>162</v>
      </c>
      <c r="X16" s="63">
        <v>200</v>
      </c>
      <c r="Y16" s="176" t="str">
        <f t="shared" si="8"/>
        <v/>
      </c>
      <c r="Z16" t="s">
        <v>333</v>
      </c>
      <c r="AA16" s="97" t="str">
        <f t="shared" si="23"/>
        <v>96</v>
      </c>
      <c r="AB16" s="85">
        <f t="shared" si="24"/>
        <v>150</v>
      </c>
      <c r="AC16" s="97" t="str">
        <f t="shared" si="25"/>
        <v>2C</v>
      </c>
      <c r="AD16" s="85">
        <f t="shared" si="26"/>
        <v>44</v>
      </c>
      <c r="AE16" s="97" t="str">
        <f t="shared" si="27"/>
        <v>AE</v>
      </c>
      <c r="AF16" s="85">
        <f t="shared" si="28"/>
        <v>174</v>
      </c>
      <c r="AH16" s="111">
        <f t="shared" ref="AH16:AH19" si="32">AH15+(AJ$13*AK$13)</f>
        <v>-0.16</v>
      </c>
      <c r="AI16" s="111" t="b">
        <f t="shared" si="29"/>
        <v>1</v>
      </c>
      <c r="AJ16" s="111">
        <f t="shared" si="30"/>
        <v>0</v>
      </c>
      <c r="AK16" s="111">
        <f t="shared" si="31"/>
        <v>0.84</v>
      </c>
    </row>
    <row r="17" spans="1:37" x14ac:dyDescent="0.3">
      <c r="B17" s="63">
        <v>100</v>
      </c>
      <c r="C17" s="89" t="str">
        <f t="shared" si="19"/>
        <v/>
      </c>
      <c r="D17" t="s">
        <v>249</v>
      </c>
      <c r="E17" s="97" t="str">
        <f t="shared" si="20"/>
        <v>8B</v>
      </c>
      <c r="F17" s="85">
        <f>ROUND(F16*I6+G6,0)</f>
        <v>139</v>
      </c>
      <c r="G17" s="97" t="str">
        <f t="shared" si="21"/>
        <v>00</v>
      </c>
      <c r="H17" s="85">
        <f>ROUND(H16*I6+G6,0)</f>
        <v>0</v>
      </c>
      <c r="I17" s="97" t="str">
        <f t="shared" si="22"/>
        <v>00</v>
      </c>
      <c r="J17" s="85">
        <f>ROUND(J16*I6+G6,0)</f>
        <v>0</v>
      </c>
      <c r="K17" s="85"/>
      <c r="M17" s="63">
        <v>100</v>
      </c>
      <c r="N17" s="104" t="str">
        <f t="shared" si="4"/>
        <v/>
      </c>
      <c r="O17" t="s">
        <v>263</v>
      </c>
      <c r="P17" s="97" t="str">
        <f t="shared" si="5"/>
        <v>00</v>
      </c>
      <c r="Q17" s="85">
        <f>ROUND(Q16*T6+R6,0)</f>
        <v>0</v>
      </c>
      <c r="R17" s="97" t="str">
        <f t="shared" si="6"/>
        <v>00</v>
      </c>
      <c r="S17" s="85">
        <f>ROUND(S16*T6+R6,0)</f>
        <v>0</v>
      </c>
      <c r="T17" s="97" t="str">
        <f t="shared" si="7"/>
        <v>8B</v>
      </c>
      <c r="U17" s="85">
        <f>ROUND(U16*T6+R6,0)</f>
        <v>139</v>
      </c>
      <c r="X17" s="63">
        <v>100</v>
      </c>
      <c r="Y17" s="177" t="str">
        <f t="shared" si="8"/>
        <v/>
      </c>
      <c r="Z17" t="s">
        <v>334</v>
      </c>
      <c r="AA17" s="97" t="str">
        <f t="shared" si="23"/>
        <v>78</v>
      </c>
      <c r="AB17" s="85">
        <f t="shared" si="24"/>
        <v>120</v>
      </c>
      <c r="AC17" s="97" t="str">
        <f t="shared" si="25"/>
        <v>23</v>
      </c>
      <c r="AD17" s="85">
        <f t="shared" si="26"/>
        <v>35</v>
      </c>
      <c r="AE17" s="97" t="str">
        <f t="shared" si="27"/>
        <v>8B</v>
      </c>
      <c r="AF17" s="85">
        <f t="shared" si="28"/>
        <v>139</v>
      </c>
      <c r="AH17" s="111">
        <f t="shared" si="32"/>
        <v>-0.2</v>
      </c>
      <c r="AI17" s="111" t="b">
        <f t="shared" si="29"/>
        <v>1</v>
      </c>
      <c r="AJ17" s="111">
        <f t="shared" si="30"/>
        <v>0</v>
      </c>
      <c r="AK17" s="111">
        <f t="shared" si="31"/>
        <v>0.8</v>
      </c>
    </row>
    <row r="18" spans="1:37" x14ac:dyDescent="0.3">
      <c r="B18" s="63">
        <v>50</v>
      </c>
      <c r="C18" s="64" t="str">
        <f t="shared" si="19"/>
        <v/>
      </c>
      <c r="D18" t="s">
        <v>224</v>
      </c>
      <c r="E18" s="97" t="str">
        <f t="shared" si="20"/>
        <v>78</v>
      </c>
      <c r="F18" s="85">
        <f>ROUND(F17*I6+G6,0)</f>
        <v>120</v>
      </c>
      <c r="G18" s="97" t="str">
        <f t="shared" si="21"/>
        <v>00</v>
      </c>
      <c r="H18" s="85">
        <f>ROUND(H17*I6+G6,0)</f>
        <v>0</v>
      </c>
      <c r="I18" s="97" t="str">
        <f t="shared" si="22"/>
        <v>00</v>
      </c>
      <c r="J18" s="85">
        <f>ROUND(J17*I6+G6,0)</f>
        <v>0</v>
      </c>
      <c r="K18" s="85"/>
      <c r="M18" s="63">
        <v>50</v>
      </c>
      <c r="N18" s="107" t="str">
        <f t="shared" si="4"/>
        <v/>
      </c>
      <c r="O18" t="s">
        <v>266</v>
      </c>
      <c r="P18" s="97" t="str">
        <f t="shared" si="5"/>
        <v>00</v>
      </c>
      <c r="Q18" s="85">
        <f>ROUND(Q17*T6+R6,0)</f>
        <v>0</v>
      </c>
      <c r="R18" s="97" t="str">
        <f t="shared" si="6"/>
        <v>00</v>
      </c>
      <c r="S18" s="85">
        <f>ROUND(S17*T6+R6,0)</f>
        <v>0</v>
      </c>
      <c r="T18" s="97" t="str">
        <f t="shared" si="7"/>
        <v>78</v>
      </c>
      <c r="U18" s="85">
        <f>ROUND(U17*T6+R6,0)</f>
        <v>120</v>
      </c>
      <c r="X18" s="63">
        <v>50</v>
      </c>
      <c r="Y18" s="178" t="str">
        <f t="shared" si="8"/>
        <v/>
      </c>
      <c r="Z18" t="s">
        <v>335</v>
      </c>
      <c r="AA18" s="97" t="str">
        <f t="shared" si="23"/>
        <v>5B</v>
      </c>
      <c r="AB18" s="85">
        <f t="shared" si="24"/>
        <v>91</v>
      </c>
      <c r="AC18" s="97" t="str">
        <f t="shared" si="25"/>
        <v>1B</v>
      </c>
      <c r="AD18" s="85">
        <f t="shared" si="26"/>
        <v>27</v>
      </c>
      <c r="AE18" s="97" t="str">
        <f t="shared" si="27"/>
        <v>6A</v>
      </c>
      <c r="AF18" s="85">
        <f t="shared" si="28"/>
        <v>106</v>
      </c>
      <c r="AH18" s="111">
        <f t="shared" si="32"/>
        <v>-0.24000000000000002</v>
      </c>
      <c r="AI18" s="111" t="b">
        <f t="shared" si="29"/>
        <v>1</v>
      </c>
      <c r="AJ18" s="111">
        <f t="shared" si="30"/>
        <v>0</v>
      </c>
      <c r="AK18" s="111">
        <f t="shared" si="31"/>
        <v>0.76</v>
      </c>
    </row>
    <row r="19" spans="1:37" x14ac:dyDescent="0.3">
      <c r="B19" s="63">
        <v>10</v>
      </c>
      <c r="C19" s="96" t="str">
        <f t="shared" ref="C19" si="33">SetIt(C19, E19, G19, I19, "#" &amp; _xlfn.CONCAT(E19,G19,I19))</f>
        <v/>
      </c>
      <c r="D19" t="s">
        <v>256</v>
      </c>
      <c r="E19" s="97" t="str">
        <f t="shared" si="20"/>
        <v>67</v>
      </c>
      <c r="F19" s="85">
        <f>ROUND(F18*I6+G6,0)</f>
        <v>103</v>
      </c>
      <c r="G19" s="97" t="str">
        <f t="shared" si="21"/>
        <v>00</v>
      </c>
      <c r="H19" s="85">
        <f>ROUND(H18*I6+G6,0)</f>
        <v>0</v>
      </c>
      <c r="I19" s="97" t="str">
        <f t="shared" si="22"/>
        <v>00</v>
      </c>
      <c r="J19" s="85">
        <f>ROUND(J18*I6+G6,0)</f>
        <v>0</v>
      </c>
      <c r="K19" s="85"/>
      <c r="M19" s="63">
        <v>10</v>
      </c>
      <c r="N19" s="105" t="str">
        <f t="shared" si="4"/>
        <v/>
      </c>
      <c r="O19" t="s">
        <v>264</v>
      </c>
      <c r="P19" s="97" t="str">
        <f t="shared" si="5"/>
        <v>00</v>
      </c>
      <c r="Q19" s="85">
        <f>ROUND(Q18*T6+R6,0)</f>
        <v>0</v>
      </c>
      <c r="R19" s="97" t="str">
        <f t="shared" si="6"/>
        <v>00</v>
      </c>
      <c r="S19" s="85">
        <f>ROUND(S18*T6+R6,0)</f>
        <v>0</v>
      </c>
      <c r="T19" s="97" t="str">
        <f t="shared" si="7"/>
        <v>67</v>
      </c>
      <c r="U19" s="85">
        <f>ROUND(U18*T6+R6,0)</f>
        <v>103</v>
      </c>
      <c r="X19" s="63">
        <v>10</v>
      </c>
      <c r="Y19" s="179" t="str">
        <f t="shared" si="8"/>
        <v/>
      </c>
      <c r="Z19" t="s">
        <v>336</v>
      </c>
      <c r="AA19" s="97" t="str">
        <f t="shared" si="23"/>
        <v>42</v>
      </c>
      <c r="AB19" s="85">
        <f t="shared" si="24"/>
        <v>66</v>
      </c>
      <c r="AC19" s="97" t="str">
        <f t="shared" si="25"/>
        <v>13</v>
      </c>
      <c r="AD19" s="85">
        <f t="shared" si="26"/>
        <v>19</v>
      </c>
      <c r="AE19" s="97" t="str">
        <f t="shared" si="27"/>
        <v>4C</v>
      </c>
      <c r="AF19" s="85">
        <f t="shared" si="28"/>
        <v>76</v>
      </c>
      <c r="AH19" s="111">
        <f t="shared" si="32"/>
        <v>-0.28000000000000003</v>
      </c>
      <c r="AI19" s="111" t="b">
        <f t="shared" si="29"/>
        <v>1</v>
      </c>
      <c r="AJ19" s="111">
        <f t="shared" si="30"/>
        <v>0</v>
      </c>
      <c r="AK19" s="111">
        <f t="shared" si="31"/>
        <v>0.72</v>
      </c>
    </row>
    <row r="26" spans="1:37" x14ac:dyDescent="0.3">
      <c r="A26" t="s">
        <v>222</v>
      </c>
      <c r="E26" s="62" t="s">
        <v>205</v>
      </c>
      <c r="G26" s="62" t="s">
        <v>206</v>
      </c>
      <c r="I26" s="62" t="s">
        <v>207</v>
      </c>
      <c r="L26" t="s">
        <v>208</v>
      </c>
      <c r="M26" t="s">
        <v>211</v>
      </c>
      <c r="N26" t="s">
        <v>209</v>
      </c>
      <c r="O26" t="s">
        <v>210</v>
      </c>
      <c r="P26" s="62"/>
    </row>
    <row r="27" spans="1:37" x14ac:dyDescent="0.3">
      <c r="A27" t="s">
        <v>311</v>
      </c>
      <c r="B27" s="63">
        <v>1</v>
      </c>
      <c r="C27" s="141" t="str">
        <f>SetIt(C27, E27, G27, I27, "#" &amp; _xlfn.CONCAT(E27,G27,I27))</f>
        <v/>
      </c>
      <c r="D27" t="s">
        <v>299</v>
      </c>
      <c r="E27" s="97" t="str">
        <f>IF(F27&lt;16,"0","")&amp;DEC2HEX(F27)</f>
        <v>01</v>
      </c>
      <c r="F27" s="85">
        <v>1</v>
      </c>
      <c r="G27" s="97" t="str">
        <f>IF(H27&lt;16,"0","")&amp;DEC2HEX(H27)</f>
        <v>6E</v>
      </c>
      <c r="H27" s="85">
        <v>110</v>
      </c>
      <c r="I27" s="97" t="str">
        <f>IF(J27&lt;16,"0","")&amp;DEC2HEX(J27)</f>
        <v>F0</v>
      </c>
      <c r="J27" s="85">
        <v>240</v>
      </c>
      <c r="P27" s="50"/>
      <c r="R27" s="50"/>
      <c r="S27" s="50"/>
    </row>
    <row r="28" spans="1:37" x14ac:dyDescent="0.3">
      <c r="A28" t="s">
        <v>312</v>
      </c>
      <c r="B28" s="63">
        <v>2</v>
      </c>
      <c r="C28" s="143" t="str">
        <f>SetIt(C28, E28, G28, I28, "#" &amp; _xlfn.CONCAT(E28,G28,I28))</f>
        <v/>
      </c>
      <c r="D28" t="s">
        <v>301</v>
      </c>
      <c r="E28" s="97" t="str">
        <f>IF(F28&lt;16,"0","")&amp;DEC2HEX(F28)</f>
        <v>1A</v>
      </c>
      <c r="F28" s="85">
        <f>ROUND(F$27*O28+N28,0)</f>
        <v>26</v>
      </c>
      <c r="G28" s="97" t="str">
        <f>IF(H28&lt;16,"0","")&amp;DEC2HEX(H28)</f>
        <v>7D</v>
      </c>
      <c r="H28" s="85">
        <f>ROUND(H$27*O28+N28,0)</f>
        <v>125</v>
      </c>
      <c r="I28" s="97" t="str">
        <f>IF(J28&lt;16,"0","")&amp;DEC2HEX(J28)</f>
        <v>F2</v>
      </c>
      <c r="J28" s="85">
        <f>ROUND(J$27*O28+N28,0)</f>
        <v>242</v>
      </c>
      <c r="L28">
        <v>0.1</v>
      </c>
      <c r="M28" t="b">
        <f>(L28&lt;0)</f>
        <v>0</v>
      </c>
      <c r="N28" s="50">
        <f>IF(M28,0,255*L28)</f>
        <v>25.5</v>
      </c>
      <c r="O28" s="50">
        <f>IF(M28,1+L28,1-L28)</f>
        <v>0.9</v>
      </c>
      <c r="U28" s="50"/>
      <c r="W28" s="83">
        <v>-0.1</v>
      </c>
      <c r="X28">
        <v>0.1</v>
      </c>
    </row>
    <row r="29" spans="1:37" x14ac:dyDescent="0.3">
      <c r="B29" s="63">
        <v>3</v>
      </c>
      <c r="C29" s="144" t="str">
        <f t="shared" ref="C29:C36" si="34">SetIt(C29, E29, G29, I29, "#" &amp; _xlfn.CONCAT(E29,G29,I29))</f>
        <v/>
      </c>
      <c r="D29" t="s">
        <v>302</v>
      </c>
      <c r="E29" s="97" t="str">
        <f t="shared" ref="E29:E37" si="35">IF(F29&lt;16,"0","")&amp;DEC2HEX(F29)</f>
        <v>34</v>
      </c>
      <c r="F29" s="85">
        <f t="shared" ref="F29:F36" si="36">ROUND(F$27*O29+N29,0)</f>
        <v>52</v>
      </c>
      <c r="G29" s="97" t="str">
        <f t="shared" ref="G29:G37" si="37">IF(H29&lt;16,"0","")&amp;DEC2HEX(H29)</f>
        <v>8B</v>
      </c>
      <c r="H29" s="85">
        <f t="shared" ref="H29:H36" si="38">ROUND(H$27*O29+N29,0)</f>
        <v>139</v>
      </c>
      <c r="I29" s="97" t="str">
        <f t="shared" ref="I29:I37" si="39">IF(J29&lt;16,"0","")&amp;DEC2HEX(J29)</f>
        <v>F3</v>
      </c>
      <c r="J29" s="85">
        <f t="shared" ref="J29:J36" si="40">ROUND(J$27*O29+N29,0)</f>
        <v>243</v>
      </c>
      <c r="L29">
        <v>0.2</v>
      </c>
      <c r="M29" t="b">
        <f t="shared" ref="M29:M37" si="41">(L29&lt;0)</f>
        <v>0</v>
      </c>
      <c r="N29" s="50">
        <f t="shared" ref="N29:N36" si="42">IF(M29,0,255*L29)</f>
        <v>51</v>
      </c>
      <c r="O29" s="50">
        <f t="shared" ref="O29:O36" si="43">IF(M29,1+L29,1-L29)</f>
        <v>0.8</v>
      </c>
      <c r="U29" s="50"/>
      <c r="W29" s="83">
        <v>-0.2</v>
      </c>
      <c r="X29">
        <v>0.2</v>
      </c>
    </row>
    <row r="30" spans="1:37" x14ac:dyDescent="0.3">
      <c r="B30" s="63">
        <v>4</v>
      </c>
      <c r="C30" s="146" t="str">
        <f t="shared" si="34"/>
        <v/>
      </c>
      <c r="D30" t="s">
        <v>304</v>
      </c>
      <c r="E30" s="97" t="str">
        <f t="shared" si="35"/>
        <v>4D</v>
      </c>
      <c r="F30" s="85">
        <f t="shared" si="36"/>
        <v>77</v>
      </c>
      <c r="G30" s="97" t="str">
        <f t="shared" si="37"/>
        <v>9A</v>
      </c>
      <c r="H30" s="85">
        <f t="shared" si="38"/>
        <v>154</v>
      </c>
      <c r="I30" s="97" t="str">
        <f t="shared" si="39"/>
        <v>F5</v>
      </c>
      <c r="J30" s="85">
        <f t="shared" si="40"/>
        <v>245</v>
      </c>
      <c r="L30">
        <v>0.3</v>
      </c>
      <c r="M30" t="b">
        <f t="shared" si="41"/>
        <v>0</v>
      </c>
      <c r="N30" s="50">
        <f t="shared" si="42"/>
        <v>76.5</v>
      </c>
      <c r="O30" s="50">
        <f t="shared" si="43"/>
        <v>0.7</v>
      </c>
      <c r="U30" s="50"/>
      <c r="W30" s="83">
        <v>-0.3</v>
      </c>
      <c r="X30">
        <v>0.3</v>
      </c>
    </row>
    <row r="31" spans="1:37" x14ac:dyDescent="0.3">
      <c r="B31" s="63">
        <v>5</v>
      </c>
      <c r="C31" s="145" t="str">
        <f t="shared" si="34"/>
        <v/>
      </c>
      <c r="D31" t="s">
        <v>303</v>
      </c>
      <c r="E31" s="97" t="str">
        <f t="shared" si="35"/>
        <v>67</v>
      </c>
      <c r="F31" s="85">
        <f t="shared" si="36"/>
        <v>103</v>
      </c>
      <c r="G31" s="97" t="str">
        <f t="shared" si="37"/>
        <v>A8</v>
      </c>
      <c r="H31" s="85">
        <f t="shared" si="38"/>
        <v>168</v>
      </c>
      <c r="I31" s="97" t="str">
        <f t="shared" si="39"/>
        <v>F6</v>
      </c>
      <c r="J31" s="85">
        <f t="shared" si="40"/>
        <v>246</v>
      </c>
      <c r="L31">
        <v>0.4</v>
      </c>
      <c r="M31" t="b">
        <f t="shared" si="41"/>
        <v>0</v>
      </c>
      <c r="N31" s="50">
        <f t="shared" si="42"/>
        <v>102</v>
      </c>
      <c r="O31" s="50">
        <f t="shared" si="43"/>
        <v>0.6</v>
      </c>
      <c r="U31" s="50"/>
      <c r="W31" s="83">
        <v>-0.4</v>
      </c>
      <c r="X31">
        <v>0.4</v>
      </c>
    </row>
    <row r="32" spans="1:37" x14ac:dyDescent="0.3">
      <c r="B32" s="63">
        <v>6</v>
      </c>
      <c r="C32" s="147" t="str">
        <f t="shared" si="34"/>
        <v/>
      </c>
      <c r="D32" t="s">
        <v>305</v>
      </c>
      <c r="E32" s="97" t="str">
        <f t="shared" si="35"/>
        <v>80</v>
      </c>
      <c r="F32" s="85">
        <f t="shared" si="36"/>
        <v>128</v>
      </c>
      <c r="G32" s="97" t="str">
        <f t="shared" si="37"/>
        <v>B7</v>
      </c>
      <c r="H32" s="85">
        <f t="shared" si="38"/>
        <v>183</v>
      </c>
      <c r="I32" s="97" t="str">
        <f t="shared" si="39"/>
        <v>F8</v>
      </c>
      <c r="J32" s="85">
        <f t="shared" si="40"/>
        <v>248</v>
      </c>
      <c r="L32">
        <v>0.5</v>
      </c>
      <c r="M32" t="b">
        <f t="shared" si="41"/>
        <v>0</v>
      </c>
      <c r="N32" s="50">
        <f t="shared" si="42"/>
        <v>127.5</v>
      </c>
      <c r="O32" s="50">
        <f t="shared" si="43"/>
        <v>0.5</v>
      </c>
      <c r="U32" s="50"/>
      <c r="W32" s="83">
        <v>-0.5</v>
      </c>
      <c r="X32">
        <v>0.5</v>
      </c>
    </row>
    <row r="33" spans="1:24" x14ac:dyDescent="0.3">
      <c r="B33" s="63">
        <v>7</v>
      </c>
      <c r="C33" s="148" t="str">
        <f t="shared" si="34"/>
        <v/>
      </c>
      <c r="D33" t="s">
        <v>306</v>
      </c>
      <c r="E33" s="97" t="str">
        <f t="shared" si="35"/>
        <v>99</v>
      </c>
      <c r="F33" s="85">
        <f t="shared" si="36"/>
        <v>153</v>
      </c>
      <c r="G33" s="97" t="str">
        <f t="shared" si="37"/>
        <v>C5</v>
      </c>
      <c r="H33" s="85">
        <f t="shared" si="38"/>
        <v>197</v>
      </c>
      <c r="I33" s="97" t="str">
        <f t="shared" si="39"/>
        <v>F9</v>
      </c>
      <c r="J33" s="85">
        <f t="shared" si="40"/>
        <v>249</v>
      </c>
      <c r="L33">
        <v>0.6</v>
      </c>
      <c r="M33" t="b">
        <f t="shared" si="41"/>
        <v>0</v>
      </c>
      <c r="N33" s="50">
        <f t="shared" si="42"/>
        <v>153</v>
      </c>
      <c r="O33" s="50">
        <f t="shared" si="43"/>
        <v>0.4</v>
      </c>
      <c r="U33" s="50"/>
      <c r="W33" s="83">
        <v>-0.6</v>
      </c>
      <c r="X33">
        <v>0.6</v>
      </c>
    </row>
    <row r="34" spans="1:24" x14ac:dyDescent="0.3">
      <c r="B34" s="63">
        <v>8</v>
      </c>
      <c r="C34" s="151" t="str">
        <f t="shared" si="34"/>
        <v/>
      </c>
      <c r="D34" t="s">
        <v>309</v>
      </c>
      <c r="E34" s="97" t="str">
        <f t="shared" si="35"/>
        <v>B3</v>
      </c>
      <c r="F34" s="85">
        <f t="shared" si="36"/>
        <v>179</v>
      </c>
      <c r="G34" s="97" t="str">
        <f t="shared" si="37"/>
        <v>D4</v>
      </c>
      <c r="H34" s="85">
        <f t="shared" si="38"/>
        <v>212</v>
      </c>
      <c r="I34" s="97" t="str">
        <f t="shared" si="39"/>
        <v>FB</v>
      </c>
      <c r="J34" s="85">
        <f t="shared" si="40"/>
        <v>251</v>
      </c>
      <c r="L34">
        <v>0.7</v>
      </c>
      <c r="M34" t="b">
        <f t="shared" si="41"/>
        <v>0</v>
      </c>
      <c r="N34" s="50">
        <f t="shared" si="42"/>
        <v>178.5</v>
      </c>
      <c r="O34" s="50">
        <f t="shared" si="43"/>
        <v>0.30000000000000004</v>
      </c>
      <c r="U34" s="50"/>
      <c r="W34" s="83">
        <v>-0.7</v>
      </c>
      <c r="X34">
        <v>0.7</v>
      </c>
    </row>
    <row r="35" spans="1:24" x14ac:dyDescent="0.3">
      <c r="B35" s="63">
        <v>9</v>
      </c>
      <c r="C35" s="150" t="str">
        <f t="shared" si="34"/>
        <v/>
      </c>
      <c r="D35" t="s">
        <v>308</v>
      </c>
      <c r="E35" s="97" t="str">
        <f t="shared" si="35"/>
        <v>CC</v>
      </c>
      <c r="F35" s="85">
        <f t="shared" si="36"/>
        <v>204</v>
      </c>
      <c r="G35" s="97" t="str">
        <f t="shared" si="37"/>
        <v>E2</v>
      </c>
      <c r="H35" s="85">
        <f t="shared" si="38"/>
        <v>226</v>
      </c>
      <c r="I35" s="97" t="str">
        <f t="shared" si="39"/>
        <v>FC</v>
      </c>
      <c r="J35" s="85">
        <f t="shared" si="40"/>
        <v>252</v>
      </c>
      <c r="L35">
        <v>0.8</v>
      </c>
      <c r="M35" t="b">
        <f t="shared" si="41"/>
        <v>0</v>
      </c>
      <c r="N35" s="50">
        <f t="shared" si="42"/>
        <v>204</v>
      </c>
      <c r="O35" s="50">
        <f t="shared" si="43"/>
        <v>0.19999999999999996</v>
      </c>
      <c r="U35" s="50"/>
      <c r="W35" s="83">
        <v>-0.8</v>
      </c>
      <c r="X35">
        <v>0.8</v>
      </c>
    </row>
    <row r="36" spans="1:24" x14ac:dyDescent="0.3">
      <c r="B36" s="63">
        <v>10</v>
      </c>
      <c r="C36" s="149" t="str">
        <f t="shared" si="34"/>
        <v/>
      </c>
      <c r="D36" t="s">
        <v>307</v>
      </c>
      <c r="E36" s="97" t="str">
        <f t="shared" si="35"/>
        <v>E6</v>
      </c>
      <c r="F36" s="85">
        <f t="shared" si="36"/>
        <v>230</v>
      </c>
      <c r="G36" s="97" t="str">
        <f t="shared" si="37"/>
        <v>F1</v>
      </c>
      <c r="H36" s="85">
        <f t="shared" si="38"/>
        <v>241</v>
      </c>
      <c r="I36" s="97" t="str">
        <f t="shared" si="39"/>
        <v>FE</v>
      </c>
      <c r="J36" s="85">
        <f t="shared" si="40"/>
        <v>254</v>
      </c>
      <c r="L36">
        <v>0.9</v>
      </c>
      <c r="M36" t="b">
        <f t="shared" si="41"/>
        <v>0</v>
      </c>
      <c r="N36" s="50">
        <f t="shared" si="42"/>
        <v>229.5</v>
      </c>
      <c r="O36" s="50">
        <f t="shared" si="43"/>
        <v>9.9999999999999978E-2</v>
      </c>
      <c r="U36" s="50"/>
      <c r="W36" s="83">
        <v>-0.9</v>
      </c>
      <c r="X36">
        <v>0.9</v>
      </c>
    </row>
    <row r="37" spans="1:24" x14ac:dyDescent="0.3">
      <c r="B37" s="63">
        <v>11</v>
      </c>
      <c r="C37" s="142" t="str">
        <f t="shared" ref="C37" si="44">SetIt(C37, E37, G37, I37, "#" &amp; _xlfn.CONCAT(E37,G37,I37))</f>
        <v/>
      </c>
      <c r="D37" t="s">
        <v>300</v>
      </c>
      <c r="E37" s="97" t="str">
        <f t="shared" si="35"/>
        <v>F2</v>
      </c>
      <c r="F37" s="85">
        <f t="shared" ref="F37" si="45">ROUND(F$27*O37+N37,0)</f>
        <v>242</v>
      </c>
      <c r="G37" s="97" t="str">
        <f t="shared" si="37"/>
        <v>F8</v>
      </c>
      <c r="H37" s="85">
        <f t="shared" ref="H37" si="46">ROUND(H$27*O37+N37,0)</f>
        <v>248</v>
      </c>
      <c r="I37" s="97" t="str">
        <f t="shared" si="39"/>
        <v>FE</v>
      </c>
      <c r="J37" s="85">
        <f t="shared" ref="J37" si="47">ROUND(J$27*O37+N37,0)</f>
        <v>254</v>
      </c>
      <c r="L37">
        <v>0.95</v>
      </c>
      <c r="M37" t="b">
        <f t="shared" si="41"/>
        <v>0</v>
      </c>
      <c r="N37" s="50">
        <f t="shared" ref="N37" si="48">IF(M37,0,255*L37)</f>
        <v>242.25</v>
      </c>
      <c r="O37" s="50">
        <f t="shared" ref="O37" si="49">IF(M37,1+L37,1-L37)</f>
        <v>5.0000000000000044E-2</v>
      </c>
      <c r="U37" s="50"/>
      <c r="W37" s="83">
        <v>-0.95</v>
      </c>
      <c r="X37">
        <v>0.95</v>
      </c>
    </row>
    <row r="42" spans="1:24" x14ac:dyDescent="0.3">
      <c r="E42"/>
    </row>
    <row r="43" spans="1:24" x14ac:dyDescent="0.3">
      <c r="C43" t="s">
        <v>208</v>
      </c>
      <c r="D43" t="s">
        <v>211</v>
      </c>
      <c r="F43" t="s">
        <v>209</v>
      </c>
      <c r="I43" t="s">
        <v>210</v>
      </c>
      <c r="K43" s="50"/>
      <c r="M43" s="63"/>
      <c r="N43" t="s">
        <v>208</v>
      </c>
      <c r="O43" t="s">
        <v>211</v>
      </c>
      <c r="P43" s="62"/>
      <c r="Q43" t="s">
        <v>209</v>
      </c>
      <c r="R43" s="62"/>
      <c r="T43" t="s">
        <v>210</v>
      </c>
    </row>
    <row r="44" spans="1:24" x14ac:dyDescent="0.3">
      <c r="C44" s="50">
        <v>-0.1</v>
      </c>
      <c r="D44" t="b">
        <f>(C44&lt;0)</f>
        <v>1</v>
      </c>
      <c r="E44" s="513">
        <f>IF(D44,0,255*C44)</f>
        <v>0</v>
      </c>
      <c r="F44" s="513"/>
      <c r="G44" s="513"/>
      <c r="H44" s="513">
        <f>IF(D44,1+C44,1-C44)</f>
        <v>0.9</v>
      </c>
      <c r="I44" s="513"/>
      <c r="J44" s="513"/>
      <c r="M44" s="63"/>
      <c r="N44" s="50">
        <v>0.25</v>
      </c>
      <c r="O44" t="b">
        <f>(N44&lt;0)</f>
        <v>0</v>
      </c>
      <c r="P44" s="513">
        <f>IF(O44,0,255*N44)</f>
        <v>63.75</v>
      </c>
      <c r="Q44" s="513"/>
      <c r="R44" s="513"/>
      <c r="S44" s="513">
        <f>IF(O44,1+N44,1-N44)</f>
        <v>0.75</v>
      </c>
      <c r="T44" s="513"/>
      <c r="U44" s="513"/>
    </row>
    <row r="45" spans="1:24" x14ac:dyDescent="0.3">
      <c r="A45" t="s">
        <v>222</v>
      </c>
      <c r="E45" s="62" t="s">
        <v>205</v>
      </c>
      <c r="G45" s="62" t="s">
        <v>206</v>
      </c>
      <c r="I45" s="62" t="s">
        <v>207</v>
      </c>
      <c r="M45" s="63"/>
      <c r="P45" s="62" t="s">
        <v>205</v>
      </c>
      <c r="R45" s="62" t="s">
        <v>206</v>
      </c>
      <c r="T45" s="62" t="s">
        <v>207</v>
      </c>
    </row>
    <row r="46" spans="1:24" x14ac:dyDescent="0.3">
      <c r="A46" t="s">
        <v>297</v>
      </c>
      <c r="B46" s="63">
        <v>1</v>
      </c>
      <c r="C46" s="51" t="str">
        <f>SetIt(C46, E46, G46, I46, "#" &amp; _xlfn.CONCAT(E46,G46,I46))</f>
        <v/>
      </c>
      <c r="D46" t="s">
        <v>212</v>
      </c>
      <c r="E46" s="97" t="str">
        <f t="shared" ref="E46:E55" si="50">IF(F46&lt;16,"0","")&amp;DEC2HEX(F46)</f>
        <v>FF</v>
      </c>
      <c r="F46" s="85">
        <v>255</v>
      </c>
      <c r="G46" s="97" t="str">
        <f t="shared" ref="G46:G55" si="51">IF(H46&lt;16,"0","")&amp;DEC2HEX(H46)</f>
        <v>00</v>
      </c>
      <c r="H46" s="85">
        <v>0</v>
      </c>
      <c r="I46" s="97" t="str">
        <f t="shared" ref="I46:I55" si="52">IF(J46&lt;16,"0","")&amp;DEC2HEX(J46)</f>
        <v>00</v>
      </c>
      <c r="J46" s="85">
        <v>0</v>
      </c>
      <c r="K46" s="85"/>
      <c r="M46" s="63">
        <v>1</v>
      </c>
      <c r="N46" s="130" t="str">
        <f>SetIt(N46, P46, R46, T46, "#" &amp; _xlfn.CONCAT(P46,R46,T46))</f>
        <v/>
      </c>
      <c r="O46" t="s">
        <v>287</v>
      </c>
      <c r="P46" s="97" t="str">
        <f t="shared" ref="P46:P55" si="53">IF(Q46&lt;16,"0","")&amp;DEC2HEX(Q46)</f>
        <v>01</v>
      </c>
      <c r="Q46" s="85">
        <v>1</v>
      </c>
      <c r="R46" s="97" t="str">
        <f t="shared" ref="R46:R55" si="54">IF(S46&lt;16,"0","")&amp;DEC2HEX(S46)</f>
        <v>57</v>
      </c>
      <c r="S46" s="85">
        <v>87</v>
      </c>
      <c r="T46" s="97" t="str">
        <f t="shared" ref="T46:T55" si="55">IF(U46&lt;16,"0","")&amp;DEC2HEX(U46)</f>
        <v>9B</v>
      </c>
      <c r="U46" s="85">
        <v>155</v>
      </c>
    </row>
    <row r="47" spans="1:24" x14ac:dyDescent="0.3">
      <c r="A47" t="s">
        <v>310</v>
      </c>
      <c r="B47" s="63">
        <v>2</v>
      </c>
      <c r="C47" s="53" t="str">
        <f>SetIt(C47, E47, G47, I47, "#" &amp; _xlfn.CONCAT(E47,G47,I47))</f>
        <v/>
      </c>
      <c r="D47" t="s">
        <v>213</v>
      </c>
      <c r="E47" s="97" t="str">
        <f t="shared" si="50"/>
        <v>E6</v>
      </c>
      <c r="F47" s="85">
        <f>ROUND(F46*H44+E44,0)</f>
        <v>230</v>
      </c>
      <c r="G47" s="97" t="str">
        <f t="shared" si="51"/>
        <v>00</v>
      </c>
      <c r="H47" s="85">
        <f>ROUND(H46*H44+E44,0)</f>
        <v>0</v>
      </c>
      <c r="I47" s="97" t="str">
        <f t="shared" si="52"/>
        <v>00</v>
      </c>
      <c r="J47" s="85">
        <f>ROUND(J46*H44+E44,0)</f>
        <v>0</v>
      </c>
      <c r="K47" s="85"/>
      <c r="M47" s="63">
        <v>2</v>
      </c>
      <c r="N47" s="131" t="str">
        <f>SetIt(N47, P47, R47, T47, "#" &amp; _xlfn.CONCAT(P47,R47,T47))</f>
        <v/>
      </c>
      <c r="O47" t="s">
        <v>288</v>
      </c>
      <c r="P47" s="97" t="str">
        <f t="shared" si="53"/>
        <v>41</v>
      </c>
      <c r="Q47" s="85">
        <f>ROUND(Q46*S44+P44,0)</f>
        <v>65</v>
      </c>
      <c r="R47" s="97" t="str">
        <f t="shared" si="54"/>
        <v>81</v>
      </c>
      <c r="S47" s="85">
        <f>ROUND(S46*S44+P44,0)</f>
        <v>129</v>
      </c>
      <c r="T47" s="97" t="str">
        <f t="shared" si="55"/>
        <v>B4</v>
      </c>
      <c r="U47" s="85">
        <f>ROUND(U46*S44+P44,0)</f>
        <v>180</v>
      </c>
    </row>
    <row r="48" spans="1:24" x14ac:dyDescent="0.3">
      <c r="B48" s="63">
        <v>3</v>
      </c>
      <c r="C48" s="61" t="str">
        <f t="shared" ref="C48:C55" si="56">SetIt(C48, E48, G48, I48, "#" &amp; _xlfn.CONCAT(E48,G48,I48))</f>
        <v/>
      </c>
      <c r="D48" t="s">
        <v>221</v>
      </c>
      <c r="E48" s="97" t="str">
        <f t="shared" si="50"/>
        <v>CF</v>
      </c>
      <c r="F48" s="85">
        <f>ROUND(F47*H44+E44,0)</f>
        <v>207</v>
      </c>
      <c r="G48" s="97" t="str">
        <f t="shared" si="51"/>
        <v>00</v>
      </c>
      <c r="H48" s="85">
        <f>ROUND(H47*H44+E44,0)</f>
        <v>0</v>
      </c>
      <c r="I48" s="97" t="str">
        <f t="shared" si="52"/>
        <v>00</v>
      </c>
      <c r="J48" s="85">
        <f>ROUND(J47*H44+E44,0)</f>
        <v>0</v>
      </c>
      <c r="K48" s="85"/>
      <c r="M48" s="63">
        <v>3</v>
      </c>
      <c r="N48" s="132" t="str">
        <f t="shared" ref="N48:N55" si="57">SetIt(N48, P48, R48, T48, "#" &amp; _xlfn.CONCAT(P48,R48,T48))</f>
        <v/>
      </c>
      <c r="O48" t="s">
        <v>289</v>
      </c>
      <c r="P48" s="97" t="str">
        <f t="shared" si="53"/>
        <v>71</v>
      </c>
      <c r="Q48" s="85">
        <f>ROUND(Q47*S44+P44,0)</f>
        <v>113</v>
      </c>
      <c r="R48" s="97" t="str">
        <f t="shared" si="54"/>
        <v>A1</v>
      </c>
      <c r="S48" s="85">
        <f>ROUND(S47*S44+P44,0)</f>
        <v>161</v>
      </c>
      <c r="T48" s="97" t="str">
        <f t="shared" si="55"/>
        <v>C7</v>
      </c>
      <c r="U48" s="85">
        <f>ROUND(U47*S44+P44,0)</f>
        <v>199</v>
      </c>
    </row>
    <row r="49" spans="1:21" x14ac:dyDescent="0.3">
      <c r="B49" s="63">
        <v>4</v>
      </c>
      <c r="C49" s="55" t="str">
        <f t="shared" si="56"/>
        <v/>
      </c>
      <c r="D49" t="s">
        <v>215</v>
      </c>
      <c r="E49" s="97" t="str">
        <f t="shared" si="50"/>
        <v>BA</v>
      </c>
      <c r="F49" s="85">
        <f>ROUND(F48*H44+E44,0)</f>
        <v>186</v>
      </c>
      <c r="G49" s="97" t="str">
        <f t="shared" si="51"/>
        <v>00</v>
      </c>
      <c r="H49" s="85">
        <f>ROUND(H48*H44+E44,0)</f>
        <v>0</v>
      </c>
      <c r="I49" s="97" t="str">
        <f t="shared" si="52"/>
        <v>00</v>
      </c>
      <c r="J49" s="85">
        <f>ROUND(J48*H44+E44,0)</f>
        <v>0</v>
      </c>
      <c r="K49" s="85"/>
      <c r="M49" s="63">
        <v>4</v>
      </c>
      <c r="N49" s="134" t="str">
        <f t="shared" si="57"/>
        <v/>
      </c>
      <c r="O49" t="s">
        <v>291</v>
      </c>
      <c r="P49" s="97" t="str">
        <f t="shared" si="53"/>
        <v>95</v>
      </c>
      <c r="Q49" s="85">
        <f>ROUND(Q48*S44+P44,0)</f>
        <v>149</v>
      </c>
      <c r="R49" s="97" t="str">
        <f t="shared" si="54"/>
        <v>B9</v>
      </c>
      <c r="S49" s="85">
        <f>ROUND(S48*S44+P44,0)</f>
        <v>185</v>
      </c>
      <c r="T49" s="97" t="str">
        <f t="shared" si="55"/>
        <v>D5</v>
      </c>
      <c r="U49" s="85">
        <f>ROUND(U48*S44+P44,0)</f>
        <v>213</v>
      </c>
    </row>
    <row r="50" spans="1:21" x14ac:dyDescent="0.3">
      <c r="B50" s="63">
        <v>5</v>
      </c>
      <c r="C50" s="56" t="str">
        <f t="shared" si="56"/>
        <v/>
      </c>
      <c r="D50" t="s">
        <v>216</v>
      </c>
      <c r="E50" s="97" t="str">
        <f t="shared" si="50"/>
        <v>A7</v>
      </c>
      <c r="F50" s="85">
        <f>ROUND(F49*H44+E44,0)</f>
        <v>167</v>
      </c>
      <c r="G50" s="97" t="str">
        <f t="shared" si="51"/>
        <v>00</v>
      </c>
      <c r="H50" s="85">
        <f>ROUND(H49*H44+E44,0)</f>
        <v>0</v>
      </c>
      <c r="I50" s="97" t="str">
        <f t="shared" si="52"/>
        <v>00</v>
      </c>
      <c r="J50" s="85">
        <f>ROUND(J49*H44+E44,0)</f>
        <v>0</v>
      </c>
      <c r="K50" s="85"/>
      <c r="M50" s="63">
        <v>5</v>
      </c>
      <c r="N50" s="133" t="str">
        <f t="shared" si="57"/>
        <v/>
      </c>
      <c r="O50" t="s">
        <v>290</v>
      </c>
      <c r="P50" s="97" t="str">
        <f t="shared" si="53"/>
        <v>B0</v>
      </c>
      <c r="Q50" s="85">
        <f>ROUND(Q49*S44+P44,0)</f>
        <v>176</v>
      </c>
      <c r="R50" s="97" t="str">
        <f t="shared" si="54"/>
        <v>CB</v>
      </c>
      <c r="S50" s="85">
        <f>ROUND(S49*S44+P44,0)</f>
        <v>203</v>
      </c>
      <c r="T50" s="97" t="str">
        <f t="shared" si="55"/>
        <v>E0</v>
      </c>
      <c r="U50" s="85">
        <f>ROUND(U49*S44+P44,0)</f>
        <v>224</v>
      </c>
    </row>
    <row r="51" spans="1:21" x14ac:dyDescent="0.3">
      <c r="B51" s="63">
        <v>6</v>
      </c>
      <c r="C51" s="59" t="str">
        <f t="shared" si="56"/>
        <v/>
      </c>
      <c r="D51" t="s">
        <v>219</v>
      </c>
      <c r="E51" s="97" t="str">
        <f t="shared" si="50"/>
        <v>96</v>
      </c>
      <c r="F51" s="85">
        <f>ROUND(F50*H44+E44,0)</f>
        <v>150</v>
      </c>
      <c r="G51" s="97" t="str">
        <f t="shared" si="51"/>
        <v>00</v>
      </c>
      <c r="H51" s="85">
        <f>ROUND(H50*H44+E44,0)</f>
        <v>0</v>
      </c>
      <c r="I51" s="97" t="str">
        <f t="shared" si="52"/>
        <v>00</v>
      </c>
      <c r="J51" s="85">
        <f>ROUND(J50*H44+E44,0)</f>
        <v>0</v>
      </c>
      <c r="K51" s="85"/>
      <c r="M51" s="63">
        <v>6</v>
      </c>
      <c r="N51" s="135" t="str">
        <f t="shared" si="57"/>
        <v/>
      </c>
      <c r="O51" t="s">
        <v>292</v>
      </c>
      <c r="P51" s="97" t="str">
        <f t="shared" si="53"/>
        <v>C4</v>
      </c>
      <c r="Q51" s="85">
        <f>ROUND(Q50*S44+P44,0)</f>
        <v>196</v>
      </c>
      <c r="R51" s="97" t="str">
        <f t="shared" si="54"/>
        <v>D8</v>
      </c>
      <c r="S51" s="85">
        <f>ROUND(S50*S44+P44,0)</f>
        <v>216</v>
      </c>
      <c r="T51" s="97" t="str">
        <f t="shared" si="55"/>
        <v>E8</v>
      </c>
      <c r="U51" s="85">
        <f>ROUND(U50*S44+P44,0)</f>
        <v>232</v>
      </c>
    </row>
    <row r="52" spans="1:21" x14ac:dyDescent="0.3">
      <c r="B52" s="63">
        <v>7</v>
      </c>
      <c r="C52" s="60" t="str">
        <f t="shared" si="56"/>
        <v/>
      </c>
      <c r="D52" t="s">
        <v>220</v>
      </c>
      <c r="E52" s="97" t="str">
        <f t="shared" si="50"/>
        <v>87</v>
      </c>
      <c r="F52" s="85">
        <f>ROUND(F51*H44+E44,0)</f>
        <v>135</v>
      </c>
      <c r="G52" s="97" t="str">
        <f t="shared" si="51"/>
        <v>00</v>
      </c>
      <c r="H52" s="85">
        <f>ROUND(H51*H44+E44,0)</f>
        <v>0</v>
      </c>
      <c r="I52" s="97" t="str">
        <f t="shared" si="52"/>
        <v>00</v>
      </c>
      <c r="J52" s="85">
        <f>ROUND(J51*H44+E44,0)</f>
        <v>0</v>
      </c>
      <c r="K52" s="85"/>
      <c r="M52" s="63">
        <v>7</v>
      </c>
      <c r="N52" s="136" t="str">
        <f t="shared" si="57"/>
        <v/>
      </c>
      <c r="O52" t="s">
        <v>293</v>
      </c>
      <c r="P52" s="97" t="str">
        <f t="shared" si="53"/>
        <v>D3</v>
      </c>
      <c r="Q52" s="85">
        <f>ROUND(Q51*S44+P44,0)</f>
        <v>211</v>
      </c>
      <c r="R52" s="97" t="str">
        <f t="shared" si="54"/>
        <v>E2</v>
      </c>
      <c r="S52" s="85">
        <f>ROUND(S51*S44+P44,0)</f>
        <v>226</v>
      </c>
      <c r="T52" s="97" t="str">
        <f t="shared" si="55"/>
        <v>EE</v>
      </c>
      <c r="U52" s="85">
        <f>ROUND(U51*S44+P44,0)</f>
        <v>238</v>
      </c>
    </row>
    <row r="53" spans="1:21" x14ac:dyDescent="0.3">
      <c r="B53" s="63">
        <v>8</v>
      </c>
      <c r="C53" s="54" t="str">
        <f t="shared" si="56"/>
        <v/>
      </c>
      <c r="D53" t="s">
        <v>214</v>
      </c>
      <c r="E53" s="97" t="str">
        <f t="shared" si="50"/>
        <v>7A</v>
      </c>
      <c r="F53" s="85">
        <f>ROUND(F52*H44+E44,0)</f>
        <v>122</v>
      </c>
      <c r="G53" s="97" t="str">
        <f t="shared" si="51"/>
        <v>00</v>
      </c>
      <c r="H53" s="85">
        <f>ROUND(H52*H44+E44,0)</f>
        <v>0</v>
      </c>
      <c r="I53" s="97" t="str">
        <f t="shared" si="52"/>
        <v>00</v>
      </c>
      <c r="J53" s="85">
        <f>ROUND(J52*H44+E44,0)</f>
        <v>0</v>
      </c>
      <c r="K53" s="85"/>
      <c r="M53" s="63">
        <v>8</v>
      </c>
      <c r="N53" s="137" t="str">
        <f t="shared" si="57"/>
        <v/>
      </c>
      <c r="O53" t="s">
        <v>294</v>
      </c>
      <c r="P53" s="97" t="str">
        <f t="shared" si="53"/>
        <v>DE</v>
      </c>
      <c r="Q53" s="85">
        <f>ROUND(Q52*S44+P44,0)</f>
        <v>222</v>
      </c>
      <c r="R53" s="97" t="str">
        <f t="shared" si="54"/>
        <v>E9</v>
      </c>
      <c r="S53" s="85">
        <f>ROUND(S52*S44+P44,0)</f>
        <v>233</v>
      </c>
      <c r="T53" s="97" t="str">
        <f t="shared" si="55"/>
        <v>F2</v>
      </c>
      <c r="U53" s="85">
        <f>ROUND(U52*S44+P44,0)</f>
        <v>242</v>
      </c>
    </row>
    <row r="54" spans="1:21" x14ac:dyDescent="0.3">
      <c r="B54" s="63">
        <v>9</v>
      </c>
      <c r="C54" s="57" t="str">
        <f t="shared" si="56"/>
        <v/>
      </c>
      <c r="D54" t="s">
        <v>217</v>
      </c>
      <c r="E54" s="97" t="str">
        <f t="shared" si="50"/>
        <v>6E</v>
      </c>
      <c r="F54" s="85">
        <f>ROUND(F53*H44+E44,0)</f>
        <v>110</v>
      </c>
      <c r="G54" s="97" t="str">
        <f t="shared" si="51"/>
        <v>00</v>
      </c>
      <c r="H54" s="85">
        <f>ROUND(H53*H44+E44,0)</f>
        <v>0</v>
      </c>
      <c r="I54" s="97" t="str">
        <f t="shared" si="52"/>
        <v>00</v>
      </c>
      <c r="J54" s="85">
        <f>ROUND(J53*H44+E44,0)</f>
        <v>0</v>
      </c>
      <c r="K54" s="85"/>
      <c r="M54" s="63">
        <v>9</v>
      </c>
      <c r="N54" s="138" t="str">
        <f t="shared" si="57"/>
        <v/>
      </c>
      <c r="O54" t="s">
        <v>295</v>
      </c>
      <c r="P54" s="97" t="str">
        <f t="shared" si="53"/>
        <v>E6</v>
      </c>
      <c r="Q54" s="85">
        <f>ROUND(Q53*S44+P44,0)</f>
        <v>230</v>
      </c>
      <c r="R54" s="97" t="str">
        <f t="shared" si="54"/>
        <v>EF</v>
      </c>
      <c r="S54" s="85">
        <f>ROUND(S53*S44+P44,0)</f>
        <v>239</v>
      </c>
      <c r="T54" s="97" t="str">
        <f t="shared" si="55"/>
        <v>F5</v>
      </c>
      <c r="U54" s="85">
        <f>ROUND(U53*S44+P44,0)</f>
        <v>245</v>
      </c>
    </row>
    <row r="55" spans="1:21" x14ac:dyDescent="0.3">
      <c r="B55" s="63">
        <v>10</v>
      </c>
      <c r="C55" s="58" t="str">
        <f t="shared" si="56"/>
        <v/>
      </c>
      <c r="D55" t="s">
        <v>218</v>
      </c>
      <c r="E55" s="97" t="str">
        <f t="shared" si="50"/>
        <v>63</v>
      </c>
      <c r="F55" s="85">
        <f>ROUND(F54*H44+E44,0)</f>
        <v>99</v>
      </c>
      <c r="G55" s="97" t="str">
        <f t="shared" si="51"/>
        <v>00</v>
      </c>
      <c r="H55" s="85">
        <f>ROUND(H54*H44+E44,0)</f>
        <v>0</v>
      </c>
      <c r="I55" s="97" t="str">
        <f t="shared" si="52"/>
        <v>00</v>
      </c>
      <c r="J55" s="85">
        <f>ROUND(J54*H44+E44,0)</f>
        <v>0</v>
      </c>
      <c r="K55" s="85"/>
      <c r="M55" s="63">
        <v>10</v>
      </c>
      <c r="N55" s="139" t="str">
        <f t="shared" si="57"/>
        <v/>
      </c>
      <c r="O55" t="s">
        <v>296</v>
      </c>
      <c r="P55" s="97" t="str">
        <f t="shared" si="53"/>
        <v>EC</v>
      </c>
      <c r="Q55" s="85">
        <f>ROUND(Q54*S44+P44,0)</f>
        <v>236</v>
      </c>
      <c r="R55" s="97" t="str">
        <f t="shared" si="54"/>
        <v>F3</v>
      </c>
      <c r="S55" s="85">
        <f>ROUND(S54*S44+P44,0)</f>
        <v>243</v>
      </c>
      <c r="T55" s="97" t="str">
        <f t="shared" si="55"/>
        <v>F8</v>
      </c>
      <c r="U55" s="85">
        <f>ROUND(U54*S44+P44,0)</f>
        <v>248</v>
      </c>
    </row>
    <row r="56" spans="1:21" x14ac:dyDescent="0.3">
      <c r="E56" s="97"/>
      <c r="F56" s="52"/>
      <c r="G56" s="97"/>
      <c r="H56" s="52"/>
      <c r="I56" s="97"/>
      <c r="L56" s="85"/>
      <c r="M56" s="85"/>
      <c r="N56" s="85"/>
      <c r="P56" s="50"/>
      <c r="R56" s="50"/>
      <c r="S56" s="50"/>
    </row>
    <row r="57" spans="1:21" x14ac:dyDescent="0.3">
      <c r="E57" s="97"/>
      <c r="F57" s="52"/>
      <c r="G57" s="97"/>
      <c r="H57" s="52"/>
      <c r="I57" s="97"/>
      <c r="L57" s="85"/>
      <c r="M57" s="85"/>
      <c r="N57" s="85"/>
      <c r="P57" s="50"/>
      <c r="R57" s="50"/>
      <c r="S57" s="50"/>
    </row>
    <row r="58" spans="1:21" x14ac:dyDescent="0.3">
      <c r="C58" s="50">
        <v>0.1</v>
      </c>
      <c r="D58" t="b">
        <f>(C58&lt;0)</f>
        <v>0</v>
      </c>
      <c r="E58" s="513">
        <f>IF(D58,0,C58*255^2)</f>
        <v>6502.5</v>
      </c>
      <c r="F58" s="513"/>
      <c r="G58" s="513"/>
      <c r="H58" s="513">
        <f>IF(D58,1+C58,1-C58)</f>
        <v>0.9</v>
      </c>
      <c r="I58" s="513"/>
      <c r="J58" s="513"/>
      <c r="K58" s="50"/>
      <c r="L58" s="85"/>
      <c r="M58" s="63"/>
      <c r="N58" s="50">
        <v>0.15</v>
      </c>
      <c r="O58" t="b">
        <f>(N58&lt;0)</f>
        <v>0</v>
      </c>
      <c r="P58" s="513">
        <f>IF(O58,0,N58*255^2)</f>
        <v>9753.75</v>
      </c>
      <c r="Q58" s="513"/>
      <c r="R58" s="513"/>
      <c r="S58" s="513">
        <f>IF(O58,1+N58,1-N58)</f>
        <v>0.85</v>
      </c>
      <c r="T58" s="513"/>
      <c r="U58" s="513"/>
    </row>
    <row r="59" spans="1:21" x14ac:dyDescent="0.3">
      <c r="A59" t="s">
        <v>223</v>
      </c>
      <c r="L59" s="85"/>
      <c r="M59" s="63"/>
      <c r="P59" s="62"/>
      <c r="R59" s="62"/>
      <c r="T59" s="62"/>
    </row>
    <row r="60" spans="1:21" x14ac:dyDescent="0.3">
      <c r="A60" t="s">
        <v>297</v>
      </c>
      <c r="B60" s="63">
        <v>1</v>
      </c>
      <c r="C60" s="66" t="str">
        <f>SetIt(C60, E60, G60, I60, "#" &amp; _xlfn.CONCAT(E60,G60,I60))</f>
        <v/>
      </c>
      <c r="D60" t="s">
        <v>227</v>
      </c>
      <c r="E60" s="97" t="str">
        <f t="shared" ref="E60:E75" si="58">IF(F60&lt;16,"0","")&amp;DEC2HEX(F60)</f>
        <v>F4</v>
      </c>
      <c r="F60" s="85">
        <v>244</v>
      </c>
      <c r="G60" s="97" t="str">
        <f t="shared" ref="G60:G75" si="59">IF(H60&lt;16,"0","")&amp;DEC2HEX(H60)</f>
        <v>80</v>
      </c>
      <c r="H60" s="85">
        <v>128</v>
      </c>
      <c r="I60" s="97" t="str">
        <f t="shared" ref="I60:I75" si="60">IF(J60&lt;16,"0","")&amp;DEC2HEX(J60)</f>
        <v>00</v>
      </c>
      <c r="J60" s="85">
        <v>0</v>
      </c>
      <c r="K60" s="85"/>
      <c r="M60" s="63">
        <v>1</v>
      </c>
      <c r="N60" s="114" t="str">
        <f>SetIt(N60, P60, R60, T60, "#" &amp; _xlfn.CONCAT(P60,R60,T60))</f>
        <v/>
      </c>
      <c r="O60" t="s">
        <v>271</v>
      </c>
      <c r="P60" s="97" t="str">
        <f t="shared" ref="P60:P75" si="61">IF(Q60&lt;16,"0","")&amp;DEC2HEX(Q60)</f>
        <v>02</v>
      </c>
      <c r="Q60" s="85">
        <v>2</v>
      </c>
      <c r="R60" s="97" t="str">
        <f t="shared" ref="R60:R75" si="62">IF(S60&lt;16,"0","")&amp;DEC2HEX(S60)</f>
        <v>77</v>
      </c>
      <c r="S60" s="85">
        <v>119</v>
      </c>
      <c r="T60" s="97" t="str">
        <f t="shared" ref="T60:T75" si="63">IF(U60&lt;16,"0","")&amp;DEC2HEX(U60)</f>
        <v>BD</v>
      </c>
      <c r="U60" s="85">
        <v>189</v>
      </c>
    </row>
    <row r="61" spans="1:21" x14ac:dyDescent="0.3">
      <c r="A61" t="s">
        <v>310</v>
      </c>
      <c r="B61" s="63">
        <v>2</v>
      </c>
      <c r="C61" s="68" t="str">
        <f>SetIt(C61, E61, G61, I61, "#" &amp; _xlfn.CONCAT(E61,G61,I61))</f>
        <v/>
      </c>
      <c r="D61" t="s">
        <v>229</v>
      </c>
      <c r="E61" s="97" t="str">
        <f t="shared" si="58"/>
        <v>F5</v>
      </c>
      <c r="F61" s="85">
        <f>ROUND((H58*F60^2+E58)^0.5,0)</f>
        <v>245</v>
      </c>
      <c r="G61" s="97" t="str">
        <f t="shared" si="59"/>
        <v>92</v>
      </c>
      <c r="H61" s="85">
        <f>ROUND((H58*H60^2+E58)^0.5,0)</f>
        <v>146</v>
      </c>
      <c r="I61" s="97" t="str">
        <f t="shared" si="60"/>
        <v>51</v>
      </c>
      <c r="J61" s="85">
        <f>ROUND((H58*J60^2+E58)^0.5,0)</f>
        <v>81</v>
      </c>
      <c r="K61" s="85"/>
      <c r="M61" s="63">
        <v>2</v>
      </c>
      <c r="N61" s="117" t="str">
        <f>SetIt(N61, P61, R61, T61, "#" &amp; _xlfn.CONCAT(P61,R61,T61))</f>
        <v/>
      </c>
      <c r="O61" t="s">
        <v>274</v>
      </c>
      <c r="P61" s="97" t="str">
        <f t="shared" si="61"/>
        <v>63</v>
      </c>
      <c r="Q61" s="85">
        <f>ROUND((S58*Q60^2+P58)^0.5,0)</f>
        <v>99</v>
      </c>
      <c r="R61" s="97" t="str">
        <f t="shared" si="62"/>
        <v>94</v>
      </c>
      <c r="S61" s="85">
        <f>ROUND((S58*S60^2+P58)^0.5,0)</f>
        <v>148</v>
      </c>
      <c r="T61" s="97" t="str">
        <f t="shared" si="63"/>
        <v>C8</v>
      </c>
      <c r="U61" s="85">
        <f>ROUND((S58*U60^2+P58)^0.5,0)</f>
        <v>200</v>
      </c>
    </row>
    <row r="62" spans="1:21" x14ac:dyDescent="0.3">
      <c r="B62" s="63">
        <v>3</v>
      </c>
      <c r="C62" s="69" t="str">
        <f>SetIt(C62, E62, G62, I62, "#" &amp; _xlfn.CONCAT(E62,G62,I62))</f>
        <v/>
      </c>
      <c r="D62" t="s">
        <v>230</v>
      </c>
      <c r="E62" s="97" t="str">
        <f t="shared" si="58"/>
        <v>F6</v>
      </c>
      <c r="F62" s="85">
        <f>ROUND((H58*F61^2+E58)^0.5,0)</f>
        <v>246</v>
      </c>
      <c r="G62" s="97" t="str">
        <f t="shared" si="59"/>
        <v>A0</v>
      </c>
      <c r="H62" s="85">
        <f>ROUND((H58*H61^2+E58)^0.5,0)</f>
        <v>160</v>
      </c>
      <c r="I62" s="97" t="str">
        <f t="shared" si="60"/>
        <v>6F</v>
      </c>
      <c r="J62" s="85">
        <f>ROUND((H58*J61^2+E58)^0.5,0)</f>
        <v>111</v>
      </c>
      <c r="K62" s="85"/>
      <c r="M62" s="63">
        <v>3</v>
      </c>
      <c r="N62" s="116" t="str">
        <f>SetIt(N62, P62, R62, T62, "#" &amp; _xlfn.CONCAT(P62,R62,T62))</f>
        <v/>
      </c>
      <c r="O62" t="s">
        <v>273</v>
      </c>
      <c r="P62" s="97" t="str">
        <f t="shared" si="61"/>
        <v>86</v>
      </c>
      <c r="Q62" s="85">
        <f>ROUND((S58*Q61^2+P58)^0.5,0)</f>
        <v>134</v>
      </c>
      <c r="R62" s="97" t="str">
        <f t="shared" si="62"/>
        <v>A8</v>
      </c>
      <c r="S62" s="85">
        <f>ROUND((S58*S61^2+P58)^0.5,0)</f>
        <v>168</v>
      </c>
      <c r="T62" s="97" t="str">
        <f t="shared" si="63"/>
        <v>D1</v>
      </c>
      <c r="U62" s="85">
        <f>ROUND((S58*U61^2+P58)^0.5,0)</f>
        <v>209</v>
      </c>
    </row>
    <row r="63" spans="1:21" x14ac:dyDescent="0.3">
      <c r="B63" s="63">
        <v>4</v>
      </c>
      <c r="C63" s="70" t="str">
        <f t="shared" ref="C63:C71" si="64">SetIt(C63, E63, G63, I63, "#" &amp; _xlfn.CONCAT(E63,G63,I63))</f>
        <v/>
      </c>
      <c r="D63" t="s">
        <v>231</v>
      </c>
      <c r="E63" s="97" t="str">
        <f t="shared" si="58"/>
        <v>F7</v>
      </c>
      <c r="F63" s="85">
        <f>ROUND((H58*F62^2+E58)^0.5,0)</f>
        <v>247</v>
      </c>
      <c r="G63" s="97" t="str">
        <f t="shared" si="59"/>
        <v>AC</v>
      </c>
      <c r="H63" s="85">
        <f>ROUND((H58*H62^2+E58)^0.5,0)</f>
        <v>172</v>
      </c>
      <c r="I63" s="97" t="str">
        <f t="shared" si="60"/>
        <v>85</v>
      </c>
      <c r="J63" s="85">
        <f>ROUND((H58*J62^2+E58)^0.5,0)</f>
        <v>133</v>
      </c>
      <c r="K63" s="85"/>
      <c r="M63" s="63">
        <v>4</v>
      </c>
      <c r="N63" s="119" t="str">
        <f t="shared" ref="N63:N75" si="65">SetIt(N63, P63, R63, T63, "#" &amp; _xlfn.CONCAT(P63,R63,T63))</f>
        <v/>
      </c>
      <c r="O63" t="s">
        <v>276</v>
      </c>
      <c r="P63" s="97" t="str">
        <f t="shared" si="61"/>
        <v>9E</v>
      </c>
      <c r="Q63" s="85">
        <f>ROUND((S58*Q62^2+P58)^0.5,0)</f>
        <v>158</v>
      </c>
      <c r="R63" s="97" t="str">
        <f t="shared" si="62"/>
        <v>B8</v>
      </c>
      <c r="S63" s="85">
        <f>ROUND((S58*S62^2+P58)^0.5,0)</f>
        <v>184</v>
      </c>
      <c r="T63" s="97" t="str">
        <f t="shared" si="63"/>
        <v>D9</v>
      </c>
      <c r="U63" s="85">
        <f>ROUND((S58*U62^2+P58)^0.5,0)</f>
        <v>217</v>
      </c>
    </row>
    <row r="64" spans="1:21" x14ac:dyDescent="0.3">
      <c r="B64" s="63">
        <v>5</v>
      </c>
      <c r="C64" s="71" t="str">
        <f t="shared" si="64"/>
        <v/>
      </c>
      <c r="D64" t="s">
        <v>232</v>
      </c>
      <c r="E64" s="97" t="str">
        <f t="shared" si="58"/>
        <v>F8</v>
      </c>
      <c r="F64" s="85">
        <f>ROUND((H58*F63^2+E58)^0.5,0)</f>
        <v>248</v>
      </c>
      <c r="G64" s="97" t="str">
        <f t="shared" si="59"/>
        <v>B6</v>
      </c>
      <c r="H64" s="85">
        <f>ROUND((H58*H63^2+E58)^0.5,0)</f>
        <v>182</v>
      </c>
      <c r="I64" s="97" t="str">
        <f t="shared" si="60"/>
        <v>96</v>
      </c>
      <c r="J64" s="85">
        <f>ROUND((H58*J63^2+E58)^0.5,0)</f>
        <v>150</v>
      </c>
      <c r="K64" s="85"/>
      <c r="M64" s="63">
        <v>5</v>
      </c>
      <c r="N64" s="118" t="str">
        <f t="shared" si="65"/>
        <v/>
      </c>
      <c r="O64" t="s">
        <v>275</v>
      </c>
      <c r="P64" s="97" t="str">
        <f t="shared" si="61"/>
        <v>B0</v>
      </c>
      <c r="Q64" s="85">
        <f>ROUND((S58*Q63^2+P58)^0.5,0)</f>
        <v>176</v>
      </c>
      <c r="R64" s="97" t="str">
        <f t="shared" si="62"/>
        <v>C4</v>
      </c>
      <c r="S64" s="85">
        <f>ROUND((S58*S63^2+P58)^0.5,0)</f>
        <v>196</v>
      </c>
      <c r="T64" s="97" t="str">
        <f t="shared" si="63"/>
        <v>DF</v>
      </c>
      <c r="U64" s="85">
        <f>ROUND((S58*U63^2+P58)^0.5,0)</f>
        <v>223</v>
      </c>
    </row>
    <row r="65" spans="2:21" x14ac:dyDescent="0.3">
      <c r="B65" s="63">
        <v>6</v>
      </c>
      <c r="C65" s="72" t="str">
        <f t="shared" si="64"/>
        <v/>
      </c>
      <c r="D65" t="s">
        <v>233</v>
      </c>
      <c r="E65" s="97" t="str">
        <f t="shared" si="58"/>
        <v>F9</v>
      </c>
      <c r="F65" s="85">
        <f>ROUND((H58*F64^2+E58)^0.5,0)</f>
        <v>249</v>
      </c>
      <c r="G65" s="97" t="str">
        <f t="shared" si="59"/>
        <v>BF</v>
      </c>
      <c r="H65" s="85">
        <f>ROUND((H58*H64^2+E58)^0.5,0)</f>
        <v>191</v>
      </c>
      <c r="I65" s="97" t="str">
        <f t="shared" si="60"/>
        <v>A4</v>
      </c>
      <c r="J65" s="85">
        <f>ROUND((H58*J64^2+E58)^0.5,0)</f>
        <v>164</v>
      </c>
      <c r="K65" s="85"/>
      <c r="M65" s="63">
        <v>6</v>
      </c>
      <c r="N65" s="120" t="str">
        <f t="shared" si="65"/>
        <v/>
      </c>
      <c r="O65" t="s">
        <v>277</v>
      </c>
      <c r="P65" s="97" t="str">
        <f t="shared" si="61"/>
        <v>BE</v>
      </c>
      <c r="Q65" s="85">
        <f>ROUND((S58*Q64^2+P58)^0.5,0)</f>
        <v>190</v>
      </c>
      <c r="R65" s="97" t="str">
        <f t="shared" si="62"/>
        <v>CE</v>
      </c>
      <c r="S65" s="85">
        <f>ROUND((S58*S64^2+P58)^0.5,0)</f>
        <v>206</v>
      </c>
      <c r="T65" s="97" t="str">
        <f t="shared" si="63"/>
        <v>E4</v>
      </c>
      <c r="U65" s="85">
        <f>ROUND((S58*U64^2+P58)^0.5,0)</f>
        <v>228</v>
      </c>
    </row>
    <row r="66" spans="2:21" x14ac:dyDescent="0.3">
      <c r="B66" s="63">
        <v>7</v>
      </c>
      <c r="C66" s="73" t="str">
        <f t="shared" si="64"/>
        <v/>
      </c>
      <c r="D66" t="s">
        <v>234</v>
      </c>
      <c r="E66" s="97" t="str">
        <f t="shared" si="58"/>
        <v>FA</v>
      </c>
      <c r="F66" s="85">
        <f>ROUND((H58*F65^2+E58)^0.5,0)</f>
        <v>250</v>
      </c>
      <c r="G66" s="97" t="str">
        <f t="shared" si="59"/>
        <v>C6</v>
      </c>
      <c r="H66" s="85">
        <f>ROUND((H58*H65^2+E58)^0.5,0)</f>
        <v>198</v>
      </c>
      <c r="I66" s="97" t="str">
        <f t="shared" si="60"/>
        <v>AF</v>
      </c>
      <c r="J66" s="85">
        <f>ROUND((H58*J65^2+E58)^0.5,0)</f>
        <v>175</v>
      </c>
      <c r="K66" s="85"/>
      <c r="M66" s="63">
        <v>7</v>
      </c>
      <c r="N66" s="121" t="str">
        <f t="shared" si="65"/>
        <v/>
      </c>
      <c r="O66" t="s">
        <v>278</v>
      </c>
      <c r="P66" s="97" t="str">
        <f t="shared" si="61"/>
        <v>C9</v>
      </c>
      <c r="Q66" s="85">
        <f>ROUND((S58*Q65^2+P58)^0.5,0)</f>
        <v>201</v>
      </c>
      <c r="R66" s="97" t="str">
        <f t="shared" si="62"/>
        <v>D6</v>
      </c>
      <c r="S66" s="85">
        <f>ROUND((S58*S65^2+P58)^0.5,0)</f>
        <v>214</v>
      </c>
      <c r="T66" s="97" t="str">
        <f t="shared" si="63"/>
        <v>E8</v>
      </c>
      <c r="U66" s="85">
        <f>ROUND((S58*U65^2+P58)^0.5,0)</f>
        <v>232</v>
      </c>
    </row>
    <row r="67" spans="2:21" x14ac:dyDescent="0.3">
      <c r="B67" s="63">
        <v>8</v>
      </c>
      <c r="C67" s="74" t="str">
        <f t="shared" si="64"/>
        <v/>
      </c>
      <c r="D67" t="s">
        <v>235</v>
      </c>
      <c r="E67" s="97" t="str">
        <f t="shared" si="58"/>
        <v>FB</v>
      </c>
      <c r="F67" s="85">
        <f>ROUND((H58*F66^2+E58)^0.5,0)</f>
        <v>251</v>
      </c>
      <c r="G67" s="97" t="str">
        <f t="shared" si="59"/>
        <v>CC</v>
      </c>
      <c r="H67" s="85">
        <f>ROUND((H58*H66^2+E58)^0.5,0)</f>
        <v>204</v>
      </c>
      <c r="I67" s="97" t="str">
        <f t="shared" si="60"/>
        <v>B9</v>
      </c>
      <c r="J67" s="85">
        <f>ROUND((H58*J66^2+E58)^0.5,0)</f>
        <v>185</v>
      </c>
      <c r="K67" s="85"/>
      <c r="M67" s="63">
        <v>8</v>
      </c>
      <c r="N67" s="122" t="str">
        <f t="shared" si="65"/>
        <v/>
      </c>
      <c r="O67" t="s">
        <v>279</v>
      </c>
      <c r="P67" s="97" t="str">
        <f t="shared" si="61"/>
        <v>D2</v>
      </c>
      <c r="Q67" s="85">
        <f>ROUND((S58*Q66^2+P58)^0.5,0)</f>
        <v>210</v>
      </c>
      <c r="R67" s="97" t="str">
        <f t="shared" si="62"/>
        <v>DD</v>
      </c>
      <c r="S67" s="85">
        <f>ROUND((S58*S66^2+P58)^0.5,0)</f>
        <v>221</v>
      </c>
      <c r="T67" s="97" t="str">
        <f t="shared" si="63"/>
        <v>EC</v>
      </c>
      <c r="U67" s="85">
        <f>ROUND((S58*U66^2+P58)^0.5,0)</f>
        <v>236</v>
      </c>
    </row>
    <row r="68" spans="2:21" x14ac:dyDescent="0.3">
      <c r="B68" s="63">
        <v>9</v>
      </c>
      <c r="C68" s="75" t="str">
        <f t="shared" si="64"/>
        <v/>
      </c>
      <c r="D68" t="s">
        <v>236</v>
      </c>
      <c r="E68" s="97" t="str">
        <f t="shared" si="58"/>
        <v>FB</v>
      </c>
      <c r="F68" s="85">
        <f>ROUND((H58*F67^2+E58)^0.5,0)</f>
        <v>251</v>
      </c>
      <c r="G68" s="97" t="str">
        <f t="shared" si="59"/>
        <v>D2</v>
      </c>
      <c r="H68" s="85">
        <f>ROUND((H58*H67^2+E58)^0.5,0)</f>
        <v>210</v>
      </c>
      <c r="I68" s="97" t="str">
        <f t="shared" si="60"/>
        <v>C1</v>
      </c>
      <c r="J68" s="85">
        <f>ROUND((H58*J67^2+E58)^0.5,0)</f>
        <v>193</v>
      </c>
      <c r="K68" s="85"/>
      <c r="M68" s="63">
        <v>9</v>
      </c>
      <c r="N68" s="115" t="str">
        <f t="shared" si="65"/>
        <v/>
      </c>
      <c r="O68" t="s">
        <v>272</v>
      </c>
      <c r="P68" s="97" t="str">
        <f t="shared" si="61"/>
        <v>D9</v>
      </c>
      <c r="Q68" s="85">
        <f>ROUND((S58*Q67^2+P58)^0.5,0)</f>
        <v>217</v>
      </c>
      <c r="R68" s="97" t="str">
        <f t="shared" si="62"/>
        <v>E2</v>
      </c>
      <c r="S68" s="85">
        <f>ROUND((S58*S67^2+P58)^0.5,0)</f>
        <v>226</v>
      </c>
      <c r="T68" s="97" t="str">
        <f t="shared" si="63"/>
        <v>EF</v>
      </c>
      <c r="U68" s="85">
        <f>ROUND((S58*U67^2+P58)^0.5,0)</f>
        <v>239</v>
      </c>
    </row>
    <row r="69" spans="2:21" x14ac:dyDescent="0.3">
      <c r="B69" s="63">
        <v>10</v>
      </c>
      <c r="C69" s="76" t="str">
        <f t="shared" si="64"/>
        <v/>
      </c>
      <c r="D69" t="s">
        <v>237</v>
      </c>
      <c r="E69" s="97" t="str">
        <f t="shared" si="58"/>
        <v>FB</v>
      </c>
      <c r="F69" s="85">
        <f>ROUND((H58*F68^2+E58)^0.5,0)</f>
        <v>251</v>
      </c>
      <c r="G69" s="97" t="str">
        <f t="shared" si="59"/>
        <v>D7</v>
      </c>
      <c r="H69" s="85">
        <f>ROUND((H58*H68^2+E58)^0.5,0)</f>
        <v>215</v>
      </c>
      <c r="I69" s="97" t="str">
        <f t="shared" si="60"/>
        <v>C8</v>
      </c>
      <c r="J69" s="85">
        <f>ROUND((H58*J68^2+E58)^0.5,0)</f>
        <v>200</v>
      </c>
      <c r="K69" s="85"/>
      <c r="M69" s="63">
        <v>10</v>
      </c>
      <c r="N69" s="123" t="str">
        <f t="shared" si="65"/>
        <v/>
      </c>
      <c r="O69" t="s">
        <v>280</v>
      </c>
      <c r="P69" s="97" t="str">
        <f t="shared" si="61"/>
        <v>DF</v>
      </c>
      <c r="Q69" s="85">
        <f>ROUND((S58*Q68^2+P58)^0.5,0)</f>
        <v>223</v>
      </c>
      <c r="R69" s="97" t="str">
        <f t="shared" si="62"/>
        <v>E7</v>
      </c>
      <c r="S69" s="85">
        <f>ROUND((S58*S68^2+P58)^0.5,0)</f>
        <v>231</v>
      </c>
      <c r="T69" s="97" t="str">
        <f t="shared" si="63"/>
        <v>F1</v>
      </c>
      <c r="U69" s="85">
        <f>ROUND((S58*U68^2+P58)^0.5,0)</f>
        <v>241</v>
      </c>
    </row>
    <row r="70" spans="2:21" x14ac:dyDescent="0.3">
      <c r="B70" s="63">
        <v>11</v>
      </c>
      <c r="C70" s="77" t="str">
        <f t="shared" si="64"/>
        <v/>
      </c>
      <c r="D70" t="s">
        <v>238</v>
      </c>
      <c r="E70" s="97" t="str">
        <f t="shared" si="58"/>
        <v>FB</v>
      </c>
      <c r="F70" s="85">
        <f>ROUND((H58*F69^2+E58)^0.5,0)</f>
        <v>251</v>
      </c>
      <c r="G70" s="97" t="str">
        <f t="shared" si="59"/>
        <v>DB</v>
      </c>
      <c r="H70" s="85">
        <f>ROUND((H58*H69^2+E58)^0.5,0)</f>
        <v>219</v>
      </c>
      <c r="I70" s="97" t="str">
        <f t="shared" si="60"/>
        <v>CE</v>
      </c>
      <c r="J70" s="85">
        <f>ROUND((H58*J69^2+E58)^0.5,0)</f>
        <v>206</v>
      </c>
      <c r="K70" s="85"/>
      <c r="M70" s="63">
        <v>11</v>
      </c>
      <c r="N70" s="125" t="str">
        <f t="shared" si="65"/>
        <v/>
      </c>
      <c r="O70" t="s">
        <v>282</v>
      </c>
      <c r="P70" s="97" t="str">
        <f t="shared" si="61"/>
        <v>E4</v>
      </c>
      <c r="Q70" s="85">
        <f>ROUND((S58*Q69^2+P58)^0.5,0)</f>
        <v>228</v>
      </c>
      <c r="R70" s="97" t="str">
        <f t="shared" si="62"/>
        <v>EB</v>
      </c>
      <c r="S70" s="85">
        <f>ROUND((S58*S69^2+P58)^0.5,0)</f>
        <v>235</v>
      </c>
      <c r="T70" s="97" t="str">
        <f t="shared" si="63"/>
        <v>F3</v>
      </c>
      <c r="U70" s="85">
        <f>ROUND((S58*U69^2+P58)^0.5,0)</f>
        <v>243</v>
      </c>
    </row>
    <row r="71" spans="2:21" x14ac:dyDescent="0.3">
      <c r="B71" s="63">
        <v>12</v>
      </c>
      <c r="C71" s="65" t="str">
        <f t="shared" si="64"/>
        <v/>
      </c>
      <c r="D71" t="s">
        <v>226</v>
      </c>
      <c r="E71" s="97" t="str">
        <f t="shared" si="58"/>
        <v>FB</v>
      </c>
      <c r="F71" s="85">
        <f>ROUND((H58*F70^2+E58)^0.5,0)</f>
        <v>251</v>
      </c>
      <c r="G71" s="97" t="str">
        <f t="shared" si="59"/>
        <v>DF</v>
      </c>
      <c r="H71" s="85">
        <f>ROUND((H58*H70^2+E58)^0.5,0)</f>
        <v>223</v>
      </c>
      <c r="I71" s="97" t="str">
        <f t="shared" si="60"/>
        <v>D3</v>
      </c>
      <c r="J71" s="85">
        <f>ROUND((H58*J70^2+E58)^0.5,0)</f>
        <v>211</v>
      </c>
      <c r="K71" s="85"/>
      <c r="M71" s="63">
        <v>12</v>
      </c>
      <c r="N71" s="124" t="str">
        <f t="shared" si="65"/>
        <v/>
      </c>
      <c r="O71" t="s">
        <v>281</v>
      </c>
      <c r="P71" s="97" t="str">
        <f t="shared" si="61"/>
        <v>E8</v>
      </c>
      <c r="Q71" s="85">
        <f>ROUND((S58*Q70^2+P58)^0.5,0)</f>
        <v>232</v>
      </c>
      <c r="R71" s="97" t="str">
        <f t="shared" si="62"/>
        <v>EE</v>
      </c>
      <c r="S71" s="85">
        <f>ROUND((S58*S70^2+P58)^0.5,0)</f>
        <v>238</v>
      </c>
      <c r="T71" s="97" t="str">
        <f t="shared" si="63"/>
        <v>F5</v>
      </c>
      <c r="U71" s="85">
        <f>ROUND((S58*U70^2+P58)^0.5,0)</f>
        <v>245</v>
      </c>
    </row>
    <row r="72" spans="2:21" x14ac:dyDescent="0.3">
      <c r="B72" s="63">
        <v>13</v>
      </c>
      <c r="C72" s="78" t="str">
        <f t="shared" ref="C72:C75" si="66">SetIt(C72, E72, G72, I72, "#" &amp; _xlfn.CONCAT(E72,G72,I72))</f>
        <v/>
      </c>
      <c r="D72" t="s">
        <v>239</v>
      </c>
      <c r="E72" s="97" t="str">
        <f t="shared" si="58"/>
        <v>FB</v>
      </c>
      <c r="F72" s="85">
        <f>ROUND((H58*F71^2+E58)^0.5,0)</f>
        <v>251</v>
      </c>
      <c r="G72" s="97" t="str">
        <f t="shared" si="59"/>
        <v>E2</v>
      </c>
      <c r="H72" s="85">
        <f>ROUND((H58*H71^2+E58)^0.5,0)</f>
        <v>226</v>
      </c>
      <c r="I72" s="97" t="str">
        <f t="shared" si="60"/>
        <v>D8</v>
      </c>
      <c r="J72" s="85">
        <f>ROUND((H58*J71^2+E58)^0.5,0)</f>
        <v>216</v>
      </c>
      <c r="K72" s="85"/>
      <c r="M72" s="63">
        <v>13</v>
      </c>
      <c r="N72" s="127" t="str">
        <f t="shared" si="65"/>
        <v/>
      </c>
      <c r="O72" t="s">
        <v>284</v>
      </c>
      <c r="P72" s="97" t="str">
        <f t="shared" si="61"/>
        <v>EC</v>
      </c>
      <c r="Q72" s="85">
        <f>ROUND((S58*Q71^2+P58)^0.5,0)</f>
        <v>236</v>
      </c>
      <c r="R72" s="97" t="str">
        <f t="shared" si="62"/>
        <v>F1</v>
      </c>
      <c r="S72" s="85">
        <f>ROUND((S58*S71^2+P58)^0.5,0)</f>
        <v>241</v>
      </c>
      <c r="T72" s="97" t="str">
        <f t="shared" si="63"/>
        <v>F7</v>
      </c>
      <c r="U72" s="85">
        <f>ROUND((S58*U71^2+P58)^0.5,0)</f>
        <v>247</v>
      </c>
    </row>
    <row r="73" spans="2:21" x14ac:dyDescent="0.3">
      <c r="B73" s="63">
        <v>14</v>
      </c>
      <c r="C73" s="79" t="str">
        <f t="shared" si="66"/>
        <v/>
      </c>
      <c r="D73" t="s">
        <v>240</v>
      </c>
      <c r="E73" s="97" t="str">
        <f t="shared" si="58"/>
        <v>FB</v>
      </c>
      <c r="F73" s="85">
        <f>ROUND((H58*F72^2+E58)^0.5,0)</f>
        <v>251</v>
      </c>
      <c r="G73" s="97" t="str">
        <f t="shared" si="59"/>
        <v>E5</v>
      </c>
      <c r="H73" s="85">
        <f>ROUND((H58*H72^2+E58)^0.5,0)</f>
        <v>229</v>
      </c>
      <c r="I73" s="97" t="str">
        <f t="shared" si="60"/>
        <v>DC</v>
      </c>
      <c r="J73" s="85">
        <f>ROUND((H58*J72^2+E58)^0.5,0)</f>
        <v>220</v>
      </c>
      <c r="K73" s="85"/>
      <c r="M73" s="63">
        <v>14</v>
      </c>
      <c r="N73" s="126" t="str">
        <f t="shared" si="65"/>
        <v/>
      </c>
      <c r="O73" t="s">
        <v>283</v>
      </c>
      <c r="P73" s="97" t="str">
        <f t="shared" si="61"/>
        <v>EF</v>
      </c>
      <c r="Q73" s="85">
        <f>ROUND((S58*Q72^2+P58)^0.5,0)</f>
        <v>239</v>
      </c>
      <c r="R73" s="97" t="str">
        <f t="shared" si="62"/>
        <v>F3</v>
      </c>
      <c r="S73" s="85">
        <f>ROUND((S58*S72^2+P58)^0.5,0)</f>
        <v>243</v>
      </c>
      <c r="T73" s="97" t="str">
        <f t="shared" si="63"/>
        <v>F8</v>
      </c>
      <c r="U73" s="85">
        <f>ROUND((S58*U72^2+P58)^0.5,0)</f>
        <v>248</v>
      </c>
    </row>
    <row r="74" spans="2:21" x14ac:dyDescent="0.3">
      <c r="B74" s="63">
        <v>15</v>
      </c>
      <c r="C74" s="81" t="str">
        <f t="shared" si="66"/>
        <v/>
      </c>
      <c r="D74" t="s">
        <v>242</v>
      </c>
      <c r="E74" s="97" t="str">
        <f t="shared" si="58"/>
        <v>FB</v>
      </c>
      <c r="F74" s="85">
        <f>ROUND((H58*F73^2+E58)^0.5,0)</f>
        <v>251</v>
      </c>
      <c r="G74" s="97" t="str">
        <f t="shared" si="59"/>
        <v>E8</v>
      </c>
      <c r="H74" s="85">
        <f>ROUND((H58*H73^2+E58)^0.5,0)</f>
        <v>232</v>
      </c>
      <c r="I74" s="97" t="str">
        <f t="shared" si="60"/>
        <v>E0</v>
      </c>
      <c r="J74" s="85">
        <f>ROUND((H58*J73^2+E58)^0.5,0)</f>
        <v>224</v>
      </c>
      <c r="K74" s="85"/>
      <c r="M74" s="63">
        <v>15</v>
      </c>
      <c r="N74" s="128" t="str">
        <f t="shared" si="65"/>
        <v/>
      </c>
      <c r="O74" t="s">
        <v>285</v>
      </c>
      <c r="P74" s="97" t="str">
        <f t="shared" si="61"/>
        <v>F1</v>
      </c>
      <c r="Q74" s="85">
        <f>ROUND((S58*Q73^2+P58)^0.5,0)</f>
        <v>241</v>
      </c>
      <c r="R74" s="97" t="str">
        <f t="shared" si="62"/>
        <v>F5</v>
      </c>
      <c r="S74" s="85">
        <f>ROUND((S58*S73^2+P58)^0.5,0)</f>
        <v>245</v>
      </c>
      <c r="T74" s="97" t="str">
        <f t="shared" si="63"/>
        <v>F9</v>
      </c>
      <c r="U74" s="85">
        <f>ROUND((S58*U73^2+P58)^0.5,0)</f>
        <v>249</v>
      </c>
    </row>
    <row r="75" spans="2:21" x14ac:dyDescent="0.3">
      <c r="B75" s="63">
        <v>16</v>
      </c>
      <c r="C75" s="80" t="str">
        <f t="shared" si="66"/>
        <v/>
      </c>
      <c r="D75" t="s">
        <v>241</v>
      </c>
      <c r="E75" s="97" t="str">
        <f t="shared" si="58"/>
        <v>FB</v>
      </c>
      <c r="F75" s="85">
        <f>ROUND((H58*F74^2+E58)^0.5,0)</f>
        <v>251</v>
      </c>
      <c r="G75" s="97" t="str">
        <f t="shared" si="59"/>
        <v>EA</v>
      </c>
      <c r="H75" s="85">
        <f>ROUND((H58*H74^2+E58)^0.5,0)</f>
        <v>234</v>
      </c>
      <c r="I75" s="97" t="str">
        <f t="shared" si="60"/>
        <v>E3</v>
      </c>
      <c r="J75" s="85">
        <f>ROUND((H58*J74^2+E58)^0.5,0)</f>
        <v>227</v>
      </c>
      <c r="K75" s="85"/>
      <c r="M75" s="63">
        <v>16</v>
      </c>
      <c r="N75" s="129" t="str">
        <f t="shared" si="65"/>
        <v/>
      </c>
      <c r="O75" t="s">
        <v>286</v>
      </c>
      <c r="P75" s="97" t="str">
        <f t="shared" si="61"/>
        <v>F3</v>
      </c>
      <c r="Q75" s="85">
        <f>ROUND((S58*Q74^2+P58)^0.5,0)</f>
        <v>243</v>
      </c>
      <c r="R75" s="97" t="str">
        <f t="shared" si="62"/>
        <v>F7</v>
      </c>
      <c r="S75" s="85">
        <f>ROUND((S58*S74^2+P58)^0.5,0)</f>
        <v>247</v>
      </c>
      <c r="T75" s="97" t="str">
        <f t="shared" si="63"/>
        <v>FA</v>
      </c>
      <c r="U75" s="85">
        <f>ROUND((S58*U74^2+P58)^0.5,0)</f>
        <v>250</v>
      </c>
    </row>
    <row r="81" spans="1:23" x14ac:dyDescent="0.3">
      <c r="A81" t="s">
        <v>223</v>
      </c>
      <c r="E81" s="62" t="s">
        <v>205</v>
      </c>
      <c r="G81" s="62" t="s">
        <v>206</v>
      </c>
      <c r="I81" s="62" t="s">
        <v>207</v>
      </c>
      <c r="L81" t="s">
        <v>208</v>
      </c>
      <c r="M81" t="s">
        <v>211</v>
      </c>
      <c r="N81" t="s">
        <v>209</v>
      </c>
      <c r="O81" t="s">
        <v>210</v>
      </c>
    </row>
    <row r="82" spans="1:23" x14ac:dyDescent="0.3">
      <c r="A82" t="s">
        <v>311</v>
      </c>
      <c r="B82" s="63">
        <v>1</v>
      </c>
      <c r="C82" s="66" t="str">
        <f>SetIt(C82, E82, G82, I82, "#" &amp; _xlfn.CONCAT(E82,G82,I82))</f>
        <v/>
      </c>
      <c r="D82" t="s">
        <v>227</v>
      </c>
      <c r="E82" s="97" t="str">
        <f>IF(F82&lt;16,"0","")&amp;DEC2HEX(F82)</f>
        <v>F4</v>
      </c>
      <c r="F82" s="85">
        <v>244</v>
      </c>
      <c r="G82" s="97" t="str">
        <f>IF(H82&lt;16,"0","")&amp;DEC2HEX(H82)</f>
        <v>80</v>
      </c>
      <c r="H82" s="85">
        <v>128</v>
      </c>
      <c r="I82" s="97" t="str">
        <f>IF(J82&lt;16,"0","")&amp;DEC2HEX(J82)</f>
        <v>00</v>
      </c>
      <c r="J82" s="85">
        <v>0</v>
      </c>
      <c r="V82" s="83">
        <v>0.06</v>
      </c>
      <c r="W82" s="83">
        <v>-0.06</v>
      </c>
    </row>
    <row r="83" spans="1:23" x14ac:dyDescent="0.3">
      <c r="A83" t="s">
        <v>312</v>
      </c>
      <c r="B83" s="63">
        <v>2</v>
      </c>
      <c r="C83" s="158" t="str">
        <f>SetIt(C83, E83, G83, I83, "#" &amp; _xlfn.CONCAT(E83,G83,I83))</f>
        <v/>
      </c>
      <c r="D83" t="s">
        <v>313</v>
      </c>
      <c r="E83" s="97" t="str">
        <f>IF(F83&lt;16,"0","")&amp;DEC2HEX(F83)</f>
        <v>F5</v>
      </c>
      <c r="F83" s="85">
        <f>ROUND((O83*F82^2+N83)^0.5,0)</f>
        <v>245</v>
      </c>
      <c r="G83" s="97" t="str">
        <f>IF(H83&lt;16,"0","")&amp;DEC2HEX(H83)</f>
        <v>8E</v>
      </c>
      <c r="H83" s="85">
        <f>ROUND((O83*H82^2+N83)^0.5,0)</f>
        <v>142</v>
      </c>
      <c r="I83" s="97" t="str">
        <f>IF(J83&lt;16,"0","")&amp;DEC2HEX(J83)</f>
        <v>48</v>
      </c>
      <c r="J83" s="85">
        <f>ROUND((O83*J82^2+N83)^0.5,0)</f>
        <v>72</v>
      </c>
      <c r="L83" s="83">
        <v>0.08</v>
      </c>
      <c r="M83" t="b">
        <f>(L83&lt;0)</f>
        <v>0</v>
      </c>
      <c r="N83" s="50">
        <f>IF(M83,0,L83*255^2)</f>
        <v>5202</v>
      </c>
      <c r="O83" s="50">
        <f>IF(M83,1+L83,1-L83)</f>
        <v>0.92</v>
      </c>
      <c r="P83" s="50"/>
      <c r="R83" s="50"/>
      <c r="S83" s="50"/>
      <c r="V83" s="83">
        <v>0.08</v>
      </c>
      <c r="W83" s="83">
        <v>-0.08</v>
      </c>
    </row>
    <row r="84" spans="1:23" x14ac:dyDescent="0.3">
      <c r="B84" s="63">
        <v>3</v>
      </c>
      <c r="C84" s="159" t="str">
        <f>SetIt(C84, E84, G84, I84, "#" &amp; _xlfn.CONCAT(E84,G84,I84))</f>
        <v/>
      </c>
      <c r="D84" t="s">
        <v>314</v>
      </c>
      <c r="E84" s="97" t="str">
        <f t="shared" ref="E84:E97" si="67">IF(F84&lt;16,"0","")&amp;DEC2HEX(F84)</f>
        <v>F6</v>
      </c>
      <c r="F84" s="85">
        <f t="shared" ref="F84:F97" si="68">ROUND((O84*F83^2+N84)^0.5,0)</f>
        <v>246</v>
      </c>
      <c r="G84" s="97" t="str">
        <f t="shared" ref="G84:G97" si="69">IF(H84&lt;16,"0","")&amp;DEC2HEX(H84)</f>
        <v>A3</v>
      </c>
      <c r="H84" s="85">
        <f t="shared" ref="H84:H97" si="70">ROUND((O84*H83^2+N84)^0.5,0)</f>
        <v>163</v>
      </c>
      <c r="I84" s="97" t="str">
        <f t="shared" ref="I84:I97" si="71">IF(J84&lt;16,"0","")&amp;DEC2HEX(J84)</f>
        <v>74</v>
      </c>
      <c r="J84" s="85">
        <f t="shared" ref="J84:J97" si="72">ROUND((O84*J83^2+N84)^0.5,0)</f>
        <v>116</v>
      </c>
      <c r="L84" s="83">
        <v>0.14000000000000001</v>
      </c>
      <c r="M84" t="b">
        <f>(L84&lt;0)</f>
        <v>0</v>
      </c>
      <c r="N84" s="50">
        <f>IF(M84,0,L84*255^2)</f>
        <v>9103.5</v>
      </c>
      <c r="O84" s="50">
        <f>IF(M84,1+L84,1-L84)</f>
        <v>0.86</v>
      </c>
      <c r="V84" s="83">
        <f>V83+V$82</f>
        <v>0.14000000000000001</v>
      </c>
      <c r="W84" s="83">
        <f>W83+W$82</f>
        <v>-0.14000000000000001</v>
      </c>
    </row>
    <row r="85" spans="1:23" x14ac:dyDescent="0.3">
      <c r="B85" s="63">
        <v>4</v>
      </c>
      <c r="C85" s="160" t="str">
        <f t="shared" ref="C85:C97" si="73">SetIt(C85, E85, G85, I85, "#" &amp; _xlfn.CONCAT(E85,G85,I85))</f>
        <v/>
      </c>
      <c r="D85" t="s">
        <v>315</v>
      </c>
      <c r="E85" s="97" t="str">
        <f t="shared" si="67"/>
        <v>F8</v>
      </c>
      <c r="F85" s="85">
        <f t="shared" si="68"/>
        <v>248</v>
      </c>
      <c r="G85" s="97" t="str">
        <f t="shared" si="69"/>
        <v>B9</v>
      </c>
      <c r="H85" s="85">
        <f t="shared" si="70"/>
        <v>185</v>
      </c>
      <c r="I85" s="97" t="str">
        <f t="shared" si="71"/>
        <v>9A</v>
      </c>
      <c r="J85" s="85">
        <f t="shared" si="72"/>
        <v>154</v>
      </c>
      <c r="L85" s="83">
        <v>0.2</v>
      </c>
      <c r="M85" t="b">
        <f t="shared" ref="M85:M97" si="74">(L85&lt;0)</f>
        <v>0</v>
      </c>
      <c r="N85" s="50">
        <f t="shared" ref="N85:N97" si="75">IF(M85,0,L85*255^2)</f>
        <v>13005</v>
      </c>
      <c r="O85" s="50">
        <f t="shared" ref="O85:O97" si="76">IF(M85,1+L85,1-L85)</f>
        <v>0.8</v>
      </c>
      <c r="V85" s="83">
        <f t="shared" ref="V85:V97" si="77">V84+V$82</f>
        <v>0.2</v>
      </c>
      <c r="W85" s="83">
        <f t="shared" ref="W85:W97" si="78">W84+W$82</f>
        <v>-0.2</v>
      </c>
    </row>
    <row r="86" spans="1:23" x14ac:dyDescent="0.3">
      <c r="B86" s="63">
        <v>5</v>
      </c>
      <c r="C86" s="67" t="str">
        <f t="shared" si="73"/>
        <v/>
      </c>
      <c r="D86" t="s">
        <v>228</v>
      </c>
      <c r="E86" s="97" t="str">
        <f t="shared" si="67"/>
        <v>FA</v>
      </c>
      <c r="F86" s="85">
        <f t="shared" si="68"/>
        <v>250</v>
      </c>
      <c r="G86" s="97" t="str">
        <f t="shared" si="69"/>
        <v>CE</v>
      </c>
      <c r="H86" s="85">
        <f t="shared" si="70"/>
        <v>206</v>
      </c>
      <c r="I86" s="97" t="str">
        <f t="shared" si="71"/>
        <v>BA</v>
      </c>
      <c r="J86" s="85">
        <f t="shared" si="72"/>
        <v>186</v>
      </c>
      <c r="L86" s="83">
        <v>0.26</v>
      </c>
      <c r="M86" t="b">
        <f t="shared" si="74"/>
        <v>0</v>
      </c>
      <c r="N86" s="50">
        <f t="shared" si="75"/>
        <v>16906.5</v>
      </c>
      <c r="O86" s="50">
        <f t="shared" si="76"/>
        <v>0.74</v>
      </c>
      <c r="V86" s="83">
        <f t="shared" si="77"/>
        <v>0.26</v>
      </c>
      <c r="W86" s="83">
        <f t="shared" si="78"/>
        <v>-0.26</v>
      </c>
    </row>
    <row r="87" spans="1:23" x14ac:dyDescent="0.3">
      <c r="B87" s="63">
        <v>6</v>
      </c>
      <c r="C87" s="162" t="str">
        <f t="shared" si="73"/>
        <v/>
      </c>
      <c r="D87" t="s">
        <v>317</v>
      </c>
      <c r="E87" s="97" t="str">
        <f t="shared" si="67"/>
        <v>FC</v>
      </c>
      <c r="F87" s="85">
        <f t="shared" si="68"/>
        <v>252</v>
      </c>
      <c r="G87" s="97" t="str">
        <f t="shared" si="69"/>
        <v>DF</v>
      </c>
      <c r="H87" s="85">
        <f t="shared" si="70"/>
        <v>223</v>
      </c>
      <c r="I87" s="97" t="str">
        <f t="shared" si="71"/>
        <v>D3</v>
      </c>
      <c r="J87" s="85">
        <f t="shared" si="72"/>
        <v>211</v>
      </c>
      <c r="L87" s="83">
        <v>0.32</v>
      </c>
      <c r="M87" t="b">
        <f t="shared" si="74"/>
        <v>0</v>
      </c>
      <c r="N87" s="50">
        <f t="shared" si="75"/>
        <v>20808</v>
      </c>
      <c r="O87" s="50">
        <f t="shared" si="76"/>
        <v>0.67999999999999994</v>
      </c>
      <c r="V87" s="83">
        <f t="shared" si="77"/>
        <v>0.32</v>
      </c>
      <c r="W87" s="83">
        <f t="shared" si="78"/>
        <v>-0.32</v>
      </c>
    </row>
    <row r="88" spans="1:23" x14ac:dyDescent="0.3">
      <c r="B88" s="63">
        <v>7</v>
      </c>
      <c r="C88" s="161" t="str">
        <f t="shared" si="73"/>
        <v/>
      </c>
      <c r="D88" t="s">
        <v>316</v>
      </c>
      <c r="E88" s="97" t="str">
        <f t="shared" si="67"/>
        <v>FD</v>
      </c>
      <c r="F88" s="85">
        <f t="shared" si="68"/>
        <v>253</v>
      </c>
      <c r="G88" s="97" t="str">
        <f t="shared" si="69"/>
        <v>EC</v>
      </c>
      <c r="H88" s="85">
        <f t="shared" si="70"/>
        <v>236</v>
      </c>
      <c r="I88" s="97" t="str">
        <f t="shared" si="71"/>
        <v>E5</v>
      </c>
      <c r="J88" s="85">
        <f t="shared" si="72"/>
        <v>229</v>
      </c>
      <c r="L88" s="83">
        <v>0.38</v>
      </c>
      <c r="M88" t="b">
        <f t="shared" si="74"/>
        <v>0</v>
      </c>
      <c r="N88" s="50">
        <f t="shared" si="75"/>
        <v>24709.5</v>
      </c>
      <c r="O88" s="50">
        <f t="shared" si="76"/>
        <v>0.62</v>
      </c>
      <c r="V88" s="83">
        <f t="shared" si="77"/>
        <v>0.38</v>
      </c>
      <c r="W88" s="83">
        <f t="shared" si="78"/>
        <v>-0.38</v>
      </c>
    </row>
    <row r="89" spans="1:23" x14ac:dyDescent="0.3">
      <c r="B89" s="63">
        <v>8</v>
      </c>
      <c r="C89" s="163" t="str">
        <f t="shared" si="73"/>
        <v/>
      </c>
      <c r="D89" t="s">
        <v>318</v>
      </c>
      <c r="E89" s="97" t="str">
        <f t="shared" si="67"/>
        <v>FE</v>
      </c>
      <c r="F89" s="85">
        <f t="shared" si="68"/>
        <v>254</v>
      </c>
      <c r="G89" s="97" t="str">
        <f t="shared" si="69"/>
        <v>F5</v>
      </c>
      <c r="H89" s="85">
        <f t="shared" si="70"/>
        <v>245</v>
      </c>
      <c r="I89" s="97" t="str">
        <f t="shared" si="71"/>
        <v>F1</v>
      </c>
      <c r="J89" s="85">
        <f t="shared" si="72"/>
        <v>241</v>
      </c>
      <c r="L89" s="83">
        <v>0.44</v>
      </c>
      <c r="M89" t="b">
        <f t="shared" si="74"/>
        <v>0</v>
      </c>
      <c r="N89" s="50">
        <f t="shared" si="75"/>
        <v>28611</v>
      </c>
      <c r="O89" s="50">
        <f t="shared" si="76"/>
        <v>0.56000000000000005</v>
      </c>
      <c r="V89" s="83">
        <f t="shared" si="77"/>
        <v>0.44</v>
      </c>
      <c r="W89" s="83">
        <f t="shared" si="78"/>
        <v>-0.44</v>
      </c>
    </row>
    <row r="90" spans="1:23" x14ac:dyDescent="0.3">
      <c r="B90" s="63">
        <v>9</v>
      </c>
      <c r="C90" s="164" t="str">
        <f t="shared" si="73"/>
        <v/>
      </c>
      <c r="D90" t="s">
        <v>319</v>
      </c>
      <c r="E90" s="97" t="str">
        <f t="shared" si="67"/>
        <v>FF</v>
      </c>
      <c r="F90" s="85">
        <f t="shared" si="68"/>
        <v>255</v>
      </c>
      <c r="G90" s="97" t="str">
        <f t="shared" si="69"/>
        <v>FA</v>
      </c>
      <c r="H90" s="85">
        <f t="shared" si="70"/>
        <v>250</v>
      </c>
      <c r="I90" s="97" t="str">
        <f t="shared" si="71"/>
        <v>F8</v>
      </c>
      <c r="J90" s="85">
        <f t="shared" si="72"/>
        <v>248</v>
      </c>
      <c r="L90" s="83">
        <v>0.5</v>
      </c>
      <c r="M90" t="b">
        <f t="shared" si="74"/>
        <v>0</v>
      </c>
      <c r="N90" s="50">
        <f t="shared" si="75"/>
        <v>32512.5</v>
      </c>
      <c r="O90" s="50">
        <f t="shared" si="76"/>
        <v>0.5</v>
      </c>
      <c r="V90" s="83">
        <f t="shared" si="77"/>
        <v>0.5</v>
      </c>
      <c r="W90" s="83">
        <f t="shared" si="78"/>
        <v>-0.5</v>
      </c>
    </row>
    <row r="91" spans="1:23" x14ac:dyDescent="0.3">
      <c r="B91" s="63">
        <v>10</v>
      </c>
      <c r="C91" s="165" t="str">
        <f t="shared" si="73"/>
        <v/>
      </c>
      <c r="D91" t="s">
        <v>320</v>
      </c>
      <c r="E91" s="97" t="str">
        <f t="shared" si="67"/>
        <v>FF</v>
      </c>
      <c r="F91" s="85">
        <f t="shared" si="68"/>
        <v>255</v>
      </c>
      <c r="G91" s="97" t="str">
        <f t="shared" si="69"/>
        <v>FD</v>
      </c>
      <c r="H91" s="85">
        <f t="shared" si="70"/>
        <v>253</v>
      </c>
      <c r="I91" s="97" t="str">
        <f t="shared" si="71"/>
        <v>FC</v>
      </c>
      <c r="J91" s="85">
        <f t="shared" si="72"/>
        <v>252</v>
      </c>
      <c r="L91" s="83">
        <v>0.56000000000000005</v>
      </c>
      <c r="M91" t="b">
        <f t="shared" si="74"/>
        <v>0</v>
      </c>
      <c r="N91" s="50">
        <f t="shared" si="75"/>
        <v>36414</v>
      </c>
      <c r="O91" s="50">
        <f t="shared" si="76"/>
        <v>0.43999999999999995</v>
      </c>
      <c r="V91" s="83">
        <f t="shared" si="77"/>
        <v>0.56000000000000005</v>
      </c>
      <c r="W91" s="83">
        <f t="shared" si="78"/>
        <v>-0.56000000000000005</v>
      </c>
    </row>
    <row r="92" spans="1:23" x14ac:dyDescent="0.3">
      <c r="B92" s="63">
        <v>11</v>
      </c>
      <c r="C92" s="166" t="str">
        <f t="shared" si="73"/>
        <v/>
      </c>
      <c r="D92" t="s">
        <v>321</v>
      </c>
      <c r="E92" s="97" t="str">
        <f t="shared" si="67"/>
        <v>FF</v>
      </c>
      <c r="F92" s="85">
        <f t="shared" si="68"/>
        <v>255</v>
      </c>
      <c r="G92" s="97" t="str">
        <f t="shared" si="69"/>
        <v>FE</v>
      </c>
      <c r="H92" s="85">
        <f t="shared" si="70"/>
        <v>254</v>
      </c>
      <c r="I92" s="97" t="str">
        <f t="shared" si="71"/>
        <v>FE</v>
      </c>
      <c r="J92" s="85">
        <f t="shared" si="72"/>
        <v>254</v>
      </c>
      <c r="L92" s="83">
        <v>0.62000000000000011</v>
      </c>
      <c r="M92" t="b">
        <f t="shared" si="74"/>
        <v>0</v>
      </c>
      <c r="N92" s="50">
        <f t="shared" si="75"/>
        <v>40315.500000000007</v>
      </c>
      <c r="O92" s="50">
        <f t="shared" si="76"/>
        <v>0.37999999999999989</v>
      </c>
      <c r="V92" s="83">
        <f t="shared" si="77"/>
        <v>0.62000000000000011</v>
      </c>
      <c r="W92" s="83">
        <f t="shared" si="78"/>
        <v>-0.62000000000000011</v>
      </c>
    </row>
    <row r="93" spans="1:23" x14ac:dyDescent="0.3">
      <c r="B93" s="63">
        <v>12</v>
      </c>
      <c r="C93" s="140" t="str">
        <f t="shared" si="73"/>
        <v/>
      </c>
      <c r="D93" t="s">
        <v>298</v>
      </c>
      <c r="E93" s="97" t="str">
        <f t="shared" si="67"/>
        <v>FF</v>
      </c>
      <c r="F93" s="85">
        <f t="shared" si="68"/>
        <v>255</v>
      </c>
      <c r="G93" s="97" t="str">
        <f t="shared" si="69"/>
        <v>FF</v>
      </c>
      <c r="H93" s="85">
        <f t="shared" si="70"/>
        <v>255</v>
      </c>
      <c r="I93" s="97" t="str">
        <f t="shared" si="71"/>
        <v>FF</v>
      </c>
      <c r="J93" s="85">
        <f t="shared" si="72"/>
        <v>255</v>
      </c>
      <c r="L93" s="83">
        <v>0.68000000000000016</v>
      </c>
      <c r="M93" t="b">
        <f t="shared" si="74"/>
        <v>0</v>
      </c>
      <c r="N93" s="50">
        <f t="shared" si="75"/>
        <v>44217.000000000007</v>
      </c>
      <c r="O93" s="50">
        <f t="shared" si="76"/>
        <v>0.31999999999999984</v>
      </c>
      <c r="V93" s="83">
        <f t="shared" si="77"/>
        <v>0.68000000000000016</v>
      </c>
      <c r="W93" s="83">
        <f t="shared" si="78"/>
        <v>-0.68000000000000016</v>
      </c>
    </row>
    <row r="94" spans="1:23" x14ac:dyDescent="0.3">
      <c r="B94" s="63">
        <v>13</v>
      </c>
      <c r="C94" s="140" t="str">
        <f t="shared" si="73"/>
        <v/>
      </c>
      <c r="D94" t="s">
        <v>298</v>
      </c>
      <c r="E94" s="97" t="str">
        <f t="shared" si="67"/>
        <v>FF</v>
      </c>
      <c r="F94" s="85">
        <f t="shared" si="68"/>
        <v>255</v>
      </c>
      <c r="G94" s="97" t="str">
        <f t="shared" si="69"/>
        <v>FF</v>
      </c>
      <c r="H94" s="85">
        <f t="shared" si="70"/>
        <v>255</v>
      </c>
      <c r="I94" s="97" t="str">
        <f t="shared" si="71"/>
        <v>FF</v>
      </c>
      <c r="J94" s="85">
        <f t="shared" si="72"/>
        <v>255</v>
      </c>
      <c r="L94" s="83">
        <v>0.74000000000000021</v>
      </c>
      <c r="M94" t="b">
        <f t="shared" si="74"/>
        <v>0</v>
      </c>
      <c r="N94" s="50">
        <f t="shared" si="75"/>
        <v>48118.500000000015</v>
      </c>
      <c r="O94" s="50">
        <f t="shared" si="76"/>
        <v>0.25999999999999979</v>
      </c>
      <c r="V94" s="83">
        <f t="shared" si="77"/>
        <v>0.74000000000000021</v>
      </c>
      <c r="W94" s="83">
        <f t="shared" si="78"/>
        <v>-0.74000000000000021</v>
      </c>
    </row>
    <row r="95" spans="1:23" x14ac:dyDescent="0.3">
      <c r="B95" s="63">
        <v>14</v>
      </c>
      <c r="C95" s="140" t="str">
        <f t="shared" si="73"/>
        <v/>
      </c>
      <c r="D95" t="s">
        <v>298</v>
      </c>
      <c r="E95" s="97" t="str">
        <f t="shared" si="67"/>
        <v>FF</v>
      </c>
      <c r="F95" s="85">
        <f t="shared" si="68"/>
        <v>255</v>
      </c>
      <c r="G95" s="97" t="str">
        <f t="shared" si="69"/>
        <v>FF</v>
      </c>
      <c r="H95" s="85">
        <f t="shared" si="70"/>
        <v>255</v>
      </c>
      <c r="I95" s="97" t="str">
        <f t="shared" si="71"/>
        <v>FF</v>
      </c>
      <c r="J95" s="85">
        <f t="shared" si="72"/>
        <v>255</v>
      </c>
      <c r="L95" s="83">
        <v>0.80000000000000027</v>
      </c>
      <c r="M95" t="b">
        <f t="shared" si="74"/>
        <v>0</v>
      </c>
      <c r="N95" s="50">
        <f t="shared" si="75"/>
        <v>52020.000000000015</v>
      </c>
      <c r="O95" s="50">
        <f t="shared" si="76"/>
        <v>0.19999999999999973</v>
      </c>
      <c r="V95" s="83">
        <f t="shared" si="77"/>
        <v>0.80000000000000027</v>
      </c>
      <c r="W95" s="83">
        <f t="shared" si="78"/>
        <v>-0.80000000000000027</v>
      </c>
    </row>
    <row r="96" spans="1:23" x14ac:dyDescent="0.3">
      <c r="B96" s="63">
        <v>15</v>
      </c>
      <c r="C96" s="140" t="str">
        <f t="shared" si="73"/>
        <v/>
      </c>
      <c r="D96" t="s">
        <v>298</v>
      </c>
      <c r="E96" s="97" t="str">
        <f t="shared" si="67"/>
        <v>FF</v>
      </c>
      <c r="F96" s="85">
        <f t="shared" si="68"/>
        <v>255</v>
      </c>
      <c r="G96" s="97" t="str">
        <f t="shared" si="69"/>
        <v>FF</v>
      </c>
      <c r="H96" s="85">
        <f t="shared" si="70"/>
        <v>255</v>
      </c>
      <c r="I96" s="97" t="str">
        <f t="shared" si="71"/>
        <v>FF</v>
      </c>
      <c r="J96" s="85">
        <f t="shared" si="72"/>
        <v>255</v>
      </c>
      <c r="L96" s="83">
        <v>0.86000000000000032</v>
      </c>
      <c r="M96" t="b">
        <f t="shared" si="74"/>
        <v>0</v>
      </c>
      <c r="N96" s="50">
        <f t="shared" si="75"/>
        <v>55921.500000000022</v>
      </c>
      <c r="O96" s="50">
        <f t="shared" si="76"/>
        <v>0.13999999999999968</v>
      </c>
      <c r="V96" s="83">
        <f t="shared" si="77"/>
        <v>0.86000000000000032</v>
      </c>
      <c r="W96" s="83">
        <f t="shared" si="78"/>
        <v>-0.86000000000000032</v>
      </c>
    </row>
    <row r="97" spans="2:23" x14ac:dyDescent="0.3">
      <c r="B97" s="63">
        <v>16</v>
      </c>
      <c r="C97" s="140" t="str">
        <f t="shared" si="73"/>
        <v/>
      </c>
      <c r="D97" t="s">
        <v>298</v>
      </c>
      <c r="E97" s="97" t="str">
        <f t="shared" si="67"/>
        <v>FF</v>
      </c>
      <c r="F97" s="85">
        <f t="shared" si="68"/>
        <v>255</v>
      </c>
      <c r="G97" s="97" t="str">
        <f t="shared" si="69"/>
        <v>FF</v>
      </c>
      <c r="H97" s="85">
        <f t="shared" si="70"/>
        <v>255</v>
      </c>
      <c r="I97" s="97" t="str">
        <f t="shared" si="71"/>
        <v>FF</v>
      </c>
      <c r="J97" s="85">
        <f t="shared" si="72"/>
        <v>255</v>
      </c>
      <c r="L97" s="83">
        <v>0.92000000000000037</v>
      </c>
      <c r="M97" t="b">
        <f t="shared" si="74"/>
        <v>0</v>
      </c>
      <c r="N97" s="50">
        <f t="shared" si="75"/>
        <v>59823.000000000022</v>
      </c>
      <c r="O97" s="50">
        <f t="shared" si="76"/>
        <v>7.9999999999999627E-2</v>
      </c>
      <c r="V97" s="83">
        <f t="shared" si="77"/>
        <v>0.92000000000000037</v>
      </c>
      <c r="W97" s="83">
        <f t="shared" si="78"/>
        <v>-0.92000000000000037</v>
      </c>
    </row>
  </sheetData>
  <mergeCells count="20">
    <mergeCell ref="P44:R44"/>
    <mergeCell ref="S44:U44"/>
    <mergeCell ref="P58:R58"/>
    <mergeCell ref="S58:U58"/>
    <mergeCell ref="P6:Q6"/>
    <mergeCell ref="P5:Q5"/>
    <mergeCell ref="R5:S5"/>
    <mergeCell ref="T5:U5"/>
    <mergeCell ref="R6:S6"/>
    <mergeCell ref="T6:U6"/>
    <mergeCell ref="E58:G58"/>
    <mergeCell ref="H44:J44"/>
    <mergeCell ref="E44:G44"/>
    <mergeCell ref="H58:J58"/>
    <mergeCell ref="E5:F5"/>
    <mergeCell ref="E6:F6"/>
    <mergeCell ref="G5:H5"/>
    <mergeCell ref="G6:H6"/>
    <mergeCell ref="I5:J5"/>
    <mergeCell ref="I6:J6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Standard Colors</vt:lpstr>
      <vt:lpstr>Color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Stuyvesant</dc:creator>
  <cp:lastModifiedBy>Jeff Stuyvesant</cp:lastModifiedBy>
  <dcterms:created xsi:type="dcterms:W3CDTF">2019-04-22T04:55:29Z</dcterms:created>
  <dcterms:modified xsi:type="dcterms:W3CDTF">2019-04-26T03:57:56Z</dcterms:modified>
</cp:coreProperties>
</file>